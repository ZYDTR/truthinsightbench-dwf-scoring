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bff55d7db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92cbb726f7844abd"/>
    <x:sheet xmlns:r="http://schemas.openxmlformats.org/officeDocument/2006/relationships" name="总分" sheetId="2" r:id="R31cb4362569c4855"/>
    <x:sheet xmlns:r="http://schemas.openxmlformats.org/officeDocument/2006/relationships" name="发现明细" sheetId="3" r:id="R1cbe240017384fff"/>
    <x:sheet xmlns:r="http://schemas.openxmlformats.org/officeDocument/2006/relationships" name="去重" sheetId="4" r:id="Raa55f68de25f4676"/>
    <x:sheet xmlns:r="http://schemas.openxmlformats.org/officeDocument/2006/relationships" name="目标恢复" sheetId="5" r:id="R8bc97cd053c140a3"/>
    <x:sheet xmlns:r="http://schemas.openxmlformats.org/officeDocument/2006/relationships" name="评分尺" sheetId="6" r:id="R21f7573c307c4e87"/>
    <x:sheet xmlns:r="http://schemas.openxmlformats.org/officeDocument/2006/relationships" name="参数" sheetId="7" r:id="R2931224f73f842ef"/>
    <x:sheet xmlns:r="http://schemas.openxmlformats.org/officeDocument/2006/relationships" name="定向核查" sheetId="8" r:id="Re95a6514e5224b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D4ED8"/>
      <x:name val="Carlito"/>
    </x:font>
    <x:font>
      <x:b/>
      <x:sz val="11"/>
      <x:name val="Carlito"/>
    </x:font>
    <x:font>
      <x:sz val="11"/>
      <x:color rgb="FF9A341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0C2F3D"/>
      </x:patternFill>
    </x:fill>
    <x:fill>
      <x:patternFill patternType="solid">
        <x:fgColor rgb="FFFFF4D6"/>
      </x:patternFill>
    </x:fill>
    <x:fill>
      <x:patternFill patternType="solid">
        <x:fgColor rgb="FFE6F1F5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/>
    <x:xf numFmtId="200" fontId="3" fillId="5" borderId="0" xfId="0" applyNumberFormat="1" applyFont="1" applyFill="1" applyBorder="1"/>
    <x:xf numFmtId="0" fontId="3" fillId="5" borderId="0" xfId="0" applyNumberFormat="1" applyFont="1" applyFill="1" applyBorder="1"/>
    <x:xf numFmtId="20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/>
    </x:xf>
    <x:xf numFmtId="200" fontId="0" fillId="5" borderId="1" xfId="0" applyNumberFormat="1" applyFont="1" applyFill="1" applyBorder="1"/>
    <x:xf numFmtId="0" fontId="0" fillId="5" borderId="1" xfId="0" applyNumberFormat="1" applyFont="1" applyFill="1" applyBorder="1"/>
    <x:xf numFmtId="200" fontId="3" fillId="5" borderId="1" xfId="0" applyNumberFormat="1" applyFont="1" applyFill="1" applyBorder="1"/>
    <x:xf numFmtId="0" fontId="3" fillId="5" borderId="1" xfId="0" applyNumberFormat="1" applyFont="1" applyFill="1" applyBorder="1"/>
    <x:xf numFmtId="20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cd18afe7134f74" /><Relationship Type="http://schemas.openxmlformats.org/officeDocument/2006/relationships/theme" Target="/xl/theme/theme1.xml" Id="Ra2baf016f2ec4de5" /><Relationship Type="http://schemas.openxmlformats.org/officeDocument/2006/relationships/sharedStrings" Target="/xl/sharedStrings.xml" Id="R99534049face4ca9" /><Relationship Type="http://schemas.openxmlformats.org/officeDocument/2006/relationships/worksheet" Target="/xl/worksheets/sheet1.xml" Id="R92cbb726f7844abd" /><Relationship Type="http://schemas.openxmlformats.org/officeDocument/2006/relationships/worksheet" Target="/xl/worksheets/sheet2.xml" Id="R31cb4362569c4855" /><Relationship Type="http://schemas.openxmlformats.org/officeDocument/2006/relationships/worksheet" Target="/xl/worksheets/sheet3.xml" Id="R1cbe240017384fff" /><Relationship Type="http://schemas.openxmlformats.org/officeDocument/2006/relationships/worksheet" Target="/xl/worksheets/sheet4.xml" Id="Raa55f68de25f4676" /><Relationship Type="http://schemas.openxmlformats.org/officeDocument/2006/relationships/worksheet" Target="/xl/worksheets/sheet5.xml" Id="R8bc97cd053c140a3" /><Relationship Type="http://schemas.openxmlformats.org/officeDocument/2006/relationships/worksheet" Target="/xl/worksheets/sheet6.xml" Id="R21f7573c307c4e87" /><Relationship Type="http://schemas.openxmlformats.org/officeDocument/2006/relationships/worksheet" Target="/xl/worksheets/sheet7.xml" Id="R2931224f73f842ef" /><Relationship Type="http://schemas.openxmlformats.org/officeDocument/2006/relationships/worksheet" Target="/xl/worksheets/sheet8.xml" Id="Re95a6514e5224b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43" t="str">
        <x:v>TruthInsightBench｜人工审阅评分与审计</x:v>
      </x:c>
      <x:c r="B1" s="43"/>
      <x:c r="C1" s="43"/>
      <x:c r="D1" s="43"/>
      <x:c r="E1" s="43"/>
      <x:c r="F1" s="43"/>
      <x:c r="G1" s="43"/>
      <x:c r="H1" s="43"/>
    </x:row>
    <x:row r="2" ht="24" customHeight="1">
      <x:c r="A2" s="47" t="str">
        <x:v>覆盖27题、128条注册发现。采用Evaluator的29动作权重和最终汇总公式，但不是其官方执行结果。新颖性5.2全部待核验，暂不计分。</x:v>
      </x:c>
      <x:c r="B2" s="47"/>
      <x:c r="C2" s="47"/>
      <x:c r="D2" s="47"/>
      <x:c r="E2" s="47"/>
      <x:c r="F2" s="47"/>
      <x:c r="G2" s="47"/>
      <x:c r="H2" s="47"/>
    </x:row>
    <x:row r="3" ht="24" customHeight="1">
      <x:c r="A3" s="47"/>
      <x:c r="B3" s="47"/>
      <x:c r="C3" s="47"/>
      <x:c r="D3" s="47"/>
      <x:c r="E3" s="47"/>
      <x:c r="F3" s="47"/>
      <x:c r="G3" s="47"/>
      <x:c r="H3" s="47"/>
    </x:row>
    <x:row r="5" ht="30" customHeight="1">
      <x:c r="A5" s="5" t="str">
        <x:v>均分</x:v>
      </x:c>
      <x:c r="B5" s="5" t="str">
        <x:v>中位数</x:v>
      </x:c>
      <x:c r="C5" s="5" t="str">
        <x:v>最高</x:v>
      </x:c>
      <x:c r="D5" s="5" t="str">
        <x:v>最低</x:v>
      </x:c>
      <x:c r="E5" s="5" t="str">
        <x:v>题数</x:v>
      </x:c>
      <x:c r="F5" s="5" t="str">
        <x:v>注册发现</x:v>
      </x:c>
      <x:c r="G5" s="5" t="str">
        <x:v>去重发现</x:v>
      </x:c>
      <x:c r="H5" s="5" t="str">
        <x:v>合格发现</x:v>
      </x:c>
    </x:row>
    <x:row r="6" ht="35" customHeight="1">
      <x:c r="A6" s="56" t="n">
        <x:f>AVERAGE('总分'!C6:C32)</x:f>
        <x:v>66.30740740740741</x:v>
      </x:c>
      <x:c r="B6" s="56" t="n">
        <x:f>MEDIAN('总分'!C6:C32)</x:f>
        <x:v>68.2</x:v>
      </x:c>
      <x:c r="C6" s="56" t="n">
        <x:f>MAX('总分'!C6:C32)</x:f>
        <x:v>72.6</x:v>
      </x:c>
      <x:c r="D6" s="56" t="n">
        <x:f>MIN('总分'!C6:C32)</x:f>
        <x:v>47.599999999999994</x:v>
      </x:c>
      <x:c r="E6" s="57" t="n">
        <x:f>COUNTA('总分'!B6:B32)</x:f>
        <x:v>27</x:v>
      </x:c>
      <x:c r="F6" s="57" t="n">
        <x:f>COUNTA('发现明细'!C6:C133)</x:f>
        <x:v>128</x:v>
      </x:c>
      <x:c r="G6" s="57" t="n">
        <x:f>COUNTA('去重'!B6:B130)</x:f>
        <x:v>125</x:v>
      </x:c>
      <x:c r="H6" s="57" t="n">
        <x:f>SUM('总分'!G6:G32)</x:f>
        <x:v>121</x:v>
      </x:c>
    </x:row>
    <x:row r="8">
      <x:c r="A8" t="str">
        <x:v>只把待核验新颖性改为满分的均分情景</x:v>
      </x:c>
      <x:c r="G8" s="50" t="n">
        <x:f>AVERAGE('总分'!M6:M32)</x:f>
        <x:v>71.25555555555556</x:v>
      </x:c>
    </x:row>
    <x:row r="9" ht="28" customHeight="1">
      <x:c r="A9" s="65" t="str">
        <x:v>情景不是预测，也不是置信区间；其他动作或目标判断仍可能在复审后改变。</x:v>
      </x:c>
      <x:c r="B9" s="65"/>
      <x:c r="C9" s="65"/>
      <x:c r="D9" s="65"/>
      <x:c r="E9" s="65"/>
      <x:c r="F9" s="65"/>
      <x:c r="G9" s="65"/>
      <x:c r="H9" s="65"/>
    </x:row>
    <x:row r="11" ht="56" customHeight="1">
      <x:c r="A11" s="68" t="str">
        <x:v>评分公式</x:v>
      </x:c>
      <x:c r="B11" s="68"/>
      <x:c r="C11" s="10" t="str">
        <x:v>总分 = clip(0.6×S1 + 0.2×S2 + Y + H − P, 0, 100)。先对近重复发现分组，每组取最高分；S1/S2为去重后前两名。</x:v>
      </x:c>
      <x:c r="D11" s="10"/>
      <x:c r="E11" s="10"/>
      <x:c r="F11" s="10"/>
      <x:c r="G11" s="10"/>
      <x:c r="H11" s="10"/>
    </x:row>
    <x:row r="12" ht="56" customHeight="1">
      <x:c r="A12" s="68" t="str">
        <x:v>数量奖励Y</x:v>
      </x:c>
      <x:c r="B12" s="68"/>
      <x:c r="C12" s="10" t="str">
        <x:v>按最终finalize_scores.mjs的实现：组分数≥40即可计数，前4个合格组依次+4/+2/+2/+2，上限10。</x:v>
      </x:c>
      <x:c r="D12" s="10"/>
      <x:c r="E12" s="10"/>
      <x:c r="F12" s="10"/>
      <x:c r="G12" s="10"/>
      <x:c r="H12" s="10"/>
    </x:row>
    <x:row r="13" ht="56" customHeight="1">
      <x:c r="A13" s="68" t="str">
        <x:v>目标奖励H</x:v>
      </x:c>
      <x:c r="B13" s="68"/>
      <x:c r="C13" s="10" t="str">
        <x:v>两个非穷尽隐藏目标A、B分别判0、0.5、1；H=5×(A+B)。同一目标不能拼接不同发现的局部结果获得满分。</x:v>
      </x:c>
      <x:c r="D13" s="10"/>
      <x:c r="E13" s="10"/>
      <x:c r="F13" s="10"/>
      <x:c r="G13" s="10"/>
      <x:c r="H13" s="10"/>
    </x:row>
    <x:row r="14" ht="56" customHeight="1">
      <x:c r="A14" s="68" t="str">
        <x:v>错误扣分P</x:v>
      </x:c>
      <x:c r="B14" s="68"/>
      <x:c r="C14" s="10" t="str">
        <x:v>每个已确认、持续保留的独立错误结论扣5，上限10。本次仅Physics_02 F5计5；一般证据不足只降低相应动作得分。</x:v>
      </x:c>
      <x:c r="D14" s="10"/>
      <x:c r="E14" s="10"/>
      <x:c r="F14" s="10"/>
      <x:c r="G14" s="10"/>
      <x:c r="H14" s="10"/>
    </x:row>
    <x:row r="15" ht="56" customHeight="1">
      <x:c r="A15" s="68" t="str">
        <x:v>人工审阅边界</x:v>
      </x:c>
      <x:c r="B15" s="68"/>
      <x:c r="C15" s="10" t="str">
        <x:v>阅读Result.md、冻结目标及相关源码/CSV/JSON并作定向核查；未调用原模型裁判，未完整独立复跑27条分析流程，未全量重验哈希。</x:v>
      </x:c>
      <x:c r="D15" s="10"/>
      <x:c r="E15" s="10"/>
      <x:c r="F15" s="10"/>
      <x:c r="G15" s="10"/>
      <x:c r="H15" s="10"/>
    </x:row>
    <x:row r="16" ht="56" customHeight="1">
      <x:c r="A16" s="68" t="str">
        <x:v>保守记分口径</x:v>
      </x:c>
      <x:c r="B16" s="68"/>
      <x:c r="C16" s="10" t="str">
        <x:v>数据身份1.1统一0.5；执行1.3及未完整独立复算的核心/辅助量通常0.5。不是原确定性代码输出的复刻；其他动作逐发现按语义和证据判断。</x:v>
      </x:c>
      <x:c r="D16" s="10"/>
      <x:c r="E16" s="10"/>
      <x:c r="F16" s="10"/>
      <x:c r="G16" s="10"/>
      <x:c r="H16" s="10"/>
    </x:row>
    <x:row r="17" ht="56" customHeight="1">
      <x:c r="A17" s="68" t="str">
        <x:v>尚未获证据支持的加分</x:v>
      </x:c>
      <x:c r="B17" s="68"/>
      <x:c r="C17" s="10" t="str">
        <x:v>2.2、4.2、4.3、6.5在未确认完整形式证据时暂不计分；不能据此断言整个仓库完全没有有关文件。</x:v>
      </x:c>
      <x:c r="D17" s="10"/>
      <x:c r="E17" s="10"/>
      <x:c r="F17" s="10"/>
      <x:c r="G17" s="10"/>
      <x:c r="H17" s="10"/>
    </x:row>
    <x:row r="18" ht="56" customHeight="1">
      <x:c r="A18" s="68" t="str">
        <x:v>新颖性待核验</x:v>
      </x:c>
      <x:c r="B18" s="68"/>
      <x:c r="C18" s="10" t="str">
        <x:v>全部128条5.2暂为0。未完成冻结T0之前的逐发现先前工作审计，不将待核验解释为“无新颖性”。</x:v>
      </x:c>
      <x:c r="D18" s="10"/>
      <x:c r="E18" s="10"/>
      <x:c r="F18" s="10"/>
      <x:c r="G18" s="10"/>
      <x:c r="H18" s="10"/>
    </x:row>
    <x:row r="19" ht="56" customHeight="1">
      <x:c r="A19" s="68" t="str">
        <x:v>去重与敏感性</x:v>
      </x:c>
      <x:c r="B19" s="68"/>
      <x:c r="C19" s="10" t="str">
        <x:v>合并Life_04 F3+F5、Physics_03 F3+F4、Physics_05 F2+F3。总分表N列为不作这些人工合并的结果。</x:v>
      </x:c>
      <x:c r="D19" s="10"/>
      <x:c r="E19" s="10"/>
      <x:c r="F19" s="10"/>
      <x:c r="G19" s="10"/>
      <x:c r="H19" s="10"/>
    </x:row>
    <x:row r="20" ht="56" customHeight="1">
      <x:c r="A20" s="68" t="str">
        <x:v>如何复算</x:v>
      </x:c>
      <x:c r="B20" s="68"/>
      <x:c r="C20" s="10" t="str">
        <x:v>蓝色等级输入在“发现明细”N:AP；G:M自动求分。“去重”“目标恢复”“参数”共同驱动“总分”。Top2 ID为原审阅记录，不随改分刷新。</x:v>
      </x:c>
      <x:c r="D20" s="10"/>
      <x:c r="E20" s="10"/>
      <x:c r="F20" s="10"/>
      <x:c r="G20" s="10"/>
      <x:c r="H20" s="10"/>
    </x:row>
    <x:row r="21" ht="56" customHeight="1">
      <x:c r="A21" s="68" t="str">
        <x:v>来源与日期</x:v>
      </x:c>
      <x:c r="B21" s="68"/>
      <x:c r="C21" s="10" t="str">
        <x:v>仓库main于2026-09-24审阅；未独立记录commit hash。导出资产清单哈希：157eb63e27668a6412d4895b28ca9ad6d0da9f75887c9b15b79bff7ae027dd95。</x:v>
      </x:c>
      <x:c r="D21" s="10"/>
      <x:c r="E21" s="10"/>
      <x:c r="F21" s="10"/>
      <x:c r="G21" s="10"/>
      <x:c r="H21" s="10"/>
    </x:row>
    <x:row r="22" ht="56" customHeight="1">
      <x:c r="A22" s="68" t="str">
        <x:v>解释限制</x:v>
      </x:c>
      <x:c r="B22" s="68"/>
      <x:c r="C22" s="10" t="str">
        <x:v>这是混合来源的27份产物总体表现，不应当作单一模型的基准成绩；小分差不代表可靠排序，也不保证人工分数是官方分数的下界。</x:v>
      </x:c>
      <x:c r="D22" s="10"/>
      <x:c r="E22" s="10"/>
      <x:c r="F22" s="10"/>
      <x:c r="G22" s="10"/>
      <x:c r="H22" s="10"/>
    </x:row>
    <x:row r="25" ht="35" customHeight="1">
      <x:c r="A25" t="str">
        <x:v>仓库</x:v>
      </x:c>
      <x:c r="C25" s="10" t="str">
        <x:v>https://github.com/ZYDTR/truthinsightbench-dwf-scoring</x:v>
      </x:c>
      <x:c r="D25" s="10"/>
      <x:c r="E25" s="10"/>
      <x:c r="F25" s="10"/>
      <x:c r="G25" s="10"/>
      <x:c r="H25" s="10"/>
    </x:row>
    <x:row r="26" ht="35" customHeight="1">
      <x:c r="A26" t="str">
        <x:v>评分尺</x:v>
      </x:c>
      <x:c r="C26" s="10" t="str">
        <x:v>https://raw.githubusercontent.com/ZYDTR/truthinsightbench-dwf-scoring/main/TruthInsightBench/evaluation/specification.json</x:v>
      </x:c>
      <x:c r="D26" s="10"/>
      <x:c r="E26" s="10"/>
      <x:c r="F26" s="10"/>
      <x:c r="G26" s="10"/>
      <x:c r="H26" s="10"/>
    </x:row>
    <x:row r="27" ht="35" customHeight="1">
      <x:c r="A27" t="str">
        <x:v>汇总脚本</x:v>
      </x:c>
      <x:c r="C27" s="10" t="str">
        <x:v>https://raw.githubusercontent.com/ZYDTR/truthinsightbench-dwf-scoring/main/TruthInsightBench/evaluation/evaluator/finalize_scores.mjs</x:v>
      </x:c>
      <x:c r="D27" s="10"/>
      <x:c r="E27" s="10"/>
      <x:c r="F27" s="10"/>
      <x:c r="G27" s="10"/>
      <x:c r="H27" s="10"/>
    </x:row>
    <x:row r="28" ht="35" customHeight="1">
      <x:c r="A28" t="str">
        <x:v>目标匹配规则</x:v>
      </x:c>
      <x:c r="C28" s="10" t="str">
        <x:v>https://raw.githubusercontent.com/ZYDTR/truthinsightbench-dwf-scoring/main/TruthInsightBench/evaluation/evaluator/scoring_rules.mjs</x:v>
      </x:c>
      <x:c r="D28" s="10"/>
      <x:c r="E28" s="10"/>
      <x:c r="F28" s="10"/>
      <x:c r="G28" s="10"/>
      <x:c r="H28" s="10"/>
    </x:row>
  </x:sheetData>
  <x:mergeCells>
    <x:mergeCell ref="A1:H1"/>
    <x:mergeCell ref="A2:H3"/>
    <x:mergeCell ref="A8:F8"/>
    <x:mergeCell ref="A9:H9"/>
    <x:mergeCell ref="A11:B11"/>
    <x:mergeCell ref="C11:H11"/>
    <x:mergeCell ref="A12:B12"/>
    <x:mergeCell ref="C12:H12"/>
    <x:mergeCell ref="A13:B13"/>
    <x:mergeCell ref="C13:H13"/>
    <x:mergeCell ref="A14:B14"/>
    <x:mergeCell ref="C14:H14"/>
    <x:mergeCell ref="A15:B15"/>
    <x:mergeCell ref="C15:H15"/>
    <x:mergeCell ref="A16:B16"/>
    <x:mergeCell ref="C16:H16"/>
    <x:mergeCell ref="A17:B17"/>
    <x:mergeCell ref="C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5:B25"/>
    <x:mergeCell ref="C25:H25"/>
    <x:mergeCell ref="A26:B26"/>
    <x:mergeCell ref="C26:H26"/>
    <x:mergeCell ref="A27:B27"/>
    <x:mergeCell ref="C27:H27"/>
    <x:mergeCell ref="A28:B28"/>
    <x:mergeCell ref="C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9" hidden="0" customWidth="1"/>
    <x:col min="3" max="3" width="10" hidden="0" customWidth="1"/>
    <x:col min="4" max="4" width="10" hidden="0" customWidth="1"/>
    <x:col min="5" max="5" width="10" hidden="0" customWidth="1"/>
    <x:col min="6" max="6" width="17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9" hidden="0" customWidth="1"/>
    <x:col min="14" max="14" width="19" hidden="0" customWidth="1"/>
    <x:col min="15" max="15" width="65" hidden="0" customWidth="1"/>
    <x:col min="16" max="16" width="65" hidden="0" customWidth="1"/>
  </x:cols>
  <x:sheetData>
    <x:row r="1" ht="32" customHeight="1">
      <x:c r="A1" s="17" t="str">
        <x:v>TruthInsightBench｜27题人工审阅暂评分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</x:row>
    <x:row r="2" ht="38" customHeight="1">
      <x:c r="A2" s="21" t="str">
        <x:v>不是官方Evaluator运行结果。5.2新颖性待核验暂为0；得分可由发现等级、去重和目标匹配重新计算。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</x:row>
    <x:row r="3" ht="28" customHeight="1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</x:row>
    <x:row r="4" ht="28" customHeight="1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</x:row>
    <x:row r="5" ht="30" customHeight="1">
      <x:c r="A5" s="5" t="str">
        <x:v>#</x:v>
      </x:c>
      <x:c r="B5" s="5" t="str">
        <x:v>任务</x:v>
      </x:c>
      <x:c r="C5" s="5" t="str">
        <x:v>总分 /100</x:v>
      </x:c>
      <x:c r="D5" s="5" t="str">
        <x:v>S1</x:v>
      </x:c>
      <x:c r="E5" s="5" t="str">
        <x:v>S2</x:v>
      </x:c>
      <x:c r="F5" s="5" t="str">
        <x:v>原评审Top2</x:v>
      </x:c>
      <x:c r="G5" s="5" t="str">
        <x:v>合格数</x:v>
      </x:c>
      <x:c r="H5" s="5" t="str">
        <x:v>Y /10</x:v>
      </x:c>
      <x:c r="I5" s="5" t="str">
        <x:v>A等级</x:v>
      </x:c>
      <x:c r="J5" s="5" t="str">
        <x:v>B等级</x:v>
      </x:c>
      <x:c r="K5" s="5" t="str">
        <x:v>H /10</x:v>
      </x:c>
      <x:c r="L5" s="5" t="str">
        <x:v>P /10</x:v>
      </x:c>
      <x:c r="M5" s="5" t="str">
        <x:v>新颖性全满情景</x:v>
      </x:c>
      <x:c r="N5" s="5" t="str">
        <x:v>不人工合并情景</x:v>
      </x:c>
      <x:c r="O5" s="5" t="str">
        <x:v>主要发现 / 注意事项</x:v>
      </x:c>
      <x:c r="P5" s="5" t="str">
        <x:v>产物来源URL</x:v>
      </x:c>
    </x:row>
    <x:row r="6" ht="52" customHeight="1">
      <x:c r="A6" s="14" t="n">
        <x:v>1</x:v>
      </x:c>
      <x:c r="B6" s="14" t="str">
        <x:v>天文01｜射电暴漂移</x:v>
      </x:c>
      <x:c r="C6" s="36" t="n">
        <x:f>MAX('参数'!$B$11,MIN('参数'!$B$12,'参数'!$B$3*D6+'参数'!$B$4*E6+H6+K6-L6))</x:f>
        <x:v>62.1</x:v>
      </x:c>
      <x:c r="D6" s="36" t="n">
        <x:f>LARGE('去重'!E6:E10,1)</x:f>
        <x:v>66.5</x:v>
      </x:c>
      <x:c r="E6" s="36" t="n">
        <x:f>LARGE('去重'!E6:E10,2)</x:f>
        <x:v>61</x:v>
      </x:c>
      <x:c r="F6" s="14" t="str">
        <x:v>F1 / F2</x:v>
      </x:c>
      <x:c r="G6" s="14" t="n">
        <x:f>COUNTIF('去重'!E6:E10,"&gt;="&amp;'参数'!$B$2)</x:f>
        <x:v>5</x:v>
      </x:c>
      <x:c r="H6" s="36" t="n">
        <x:f>MIN('参数'!$B$7,IF(G6=0,0,'参数'!$B$8+'参数'!$B$9*(G6-1)))</x:f>
        <x:v>10</x:v>
      </x:c>
      <x:c r="I6" s="36" t="n">
        <x:f>'目标恢复'!C6</x:f>
        <x:v>0</x:v>
      </x:c>
      <x:c r="J6" s="36" t="n">
        <x:f>'目标恢复'!E6</x:f>
        <x:v>0</x:v>
      </x:c>
      <x:c r="K6" s="36" t="n">
        <x:f>(I6+J6)*'参数'!$B$5</x:f>
        <x:v>0</x:v>
      </x:c>
      <x:c r="L6" s="36" t="n">
        <x:f>MIN('参数'!$B$6,SUM('去重'!G6:G10)*'参数'!$B$10)</x:f>
        <x:v>0</x:v>
      </x:c>
      <x:c r="M6" s="36" t="n">
        <x:f>MAX('参数'!$B$11,MIN('参数'!$B$12,'参数'!$B$3*(D6+'参数'!$B$13)+'参数'!$B$4*(E6+'参数'!$B$13)+MIN('参数'!$B$7,IF(COUNTIF('去重'!E6:E10,"&gt;="&amp;('参数'!$B$2-'参数'!$B$13))=0,0,'参数'!$B$8+'参数'!$B$9*(COUNTIF('去重'!E6:E10,"&gt;="&amp;('参数'!$B$2-'参数'!$B$13))-1)))+K6-L6))</x:f>
        <x:v>66.9</x:v>
      </x:c>
      <x:c r="N6" s="36" t="n">
        <x:f>MAX('参数'!$B$11,MIN('参数'!$B$12,'参数'!$B$3*LARGE('发现明细'!G6:G10,1)+'参数'!$B$4*LARGE('发现明细'!G6:G10,2)+MIN('参数'!$B$7,IF(COUNTIF('发现明细'!G6:G10,"&gt;="&amp;'参数'!$B$2)=0,0,'参数'!$B$8+'参数'!$B$9*(COUNTIF('发现明细'!G6:G10,"&gt;="&amp;'参数'!$B$2)-1)))+K6-L6))</x:f>
        <x:v>62.1</x:v>
      </x:c>
      <x:c r="O6" s="28" t="str">
        <x:v>偏振检验误述在1.6、1.7和1.8降分；主要分布差异未被推翻，不另加P。</x:v>
      </x:c>
      <x:c r="P6" s="28" t="str">
        <x:v>https://raw.githubusercontent.com/ZYDTR/truthinsightbench-dwf-scoring/main/runs/Astronomy_01_radio_burst_drift/workspace/output/Result.md</x:v>
      </x:c>
    </x:row>
    <x:row r="7" ht="52" customHeight="1">
      <x:c r="A7" s="14" t="n">
        <x:v>2</x:v>
      </x:c>
      <x:c r="B7" s="14" t="str">
        <x:v>天文02｜引力光谱结构</x:v>
      </x:c>
      <x:c r="C7" s="36" t="n">
        <x:f>MAX('参数'!$B$11,MIN('参数'!$B$12,'参数'!$B$3*D7+'参数'!$B$4*E7+H7+K7-L7))</x:f>
        <x:v>70.6</x:v>
      </x:c>
      <x:c r="D7" s="36" t="n">
        <x:f>LARGE('去重'!E11:E15,1)</x:f>
        <x:v>66.5</x:v>
      </x:c>
      <x:c r="E7" s="36" t="n">
        <x:f>LARGE('去重'!E11:E15,2)</x:f>
        <x:v>66</x:v>
      </x:c>
      <x:c r="F7" s="14" t="str">
        <x:v>F3 / F2</x:v>
      </x:c>
      <x:c r="G7" s="14" t="n">
        <x:f>COUNTIF('去重'!E11:E15,"&gt;="&amp;'参数'!$B$2)</x:f>
        <x:v>5</x:v>
      </x:c>
      <x:c r="H7" s="36" t="n">
        <x:f>MIN('参数'!$B$7,IF(G7=0,0,'参数'!$B$8+'参数'!$B$9*(G7-1)))</x:f>
        <x:v>10</x:v>
      </x:c>
      <x:c r="I7" s="36" t="n">
        <x:f>'目标恢复'!C7</x:f>
        <x:v>0.5</x:v>
      </x:c>
      <x:c r="J7" s="36" t="n">
        <x:f>'目标恢复'!E7</x:f>
        <x:v>1</x:v>
      </x:c>
      <x:c r="K7" s="36" t="n">
        <x:f>(I7+J7)*'参数'!$B$5</x:f>
        <x:v>7.5</x:v>
      </x:c>
      <x:c r="L7" s="36" t="n">
        <x:f>MIN('参数'!$B$6,SUM('去重'!G11:G15)*'参数'!$B$10)</x:f>
        <x:v>0</x:v>
      </x:c>
      <x:c r="M7" s="36" t="n">
        <x:f>MAX('参数'!$B$11,MIN('参数'!$B$12,'参数'!$B$3*(D7+'参数'!$B$13)+'参数'!$B$4*(E7+'参数'!$B$13)+MIN('参数'!$B$7,IF(COUNTIF('去重'!E11:E15,"&gt;="&amp;('参数'!$B$2-'参数'!$B$13))=0,0,'参数'!$B$8+'参数'!$B$9*(COUNTIF('去重'!E11:E15,"&gt;="&amp;('参数'!$B$2-'参数'!$B$13))-1)))+K7-L7))</x:f>
        <x:v>75.4</x:v>
      </x:c>
      <x:c r="N7" s="36" t="n">
        <x:f>MAX('参数'!$B$11,MIN('参数'!$B$12,'参数'!$B$3*LARGE('发现明细'!G11:G15,1)+'参数'!$B$4*LARGE('发现明细'!G11:G15,2)+MIN('参数'!$B$7,IF(COUNTIF('发现明细'!G11:G15,"&gt;="&amp;'参数'!$B$2)=0,0,'参数'!$B$8+'参数'!$B$9*(COUNTIF('发现明细'!G11:G15,"&gt;="&amp;'参数'!$B$2)-1)))+K7-L7))</x:f>
        <x:v>70.6</x:v>
      </x:c>
      <x:c r="O7" s="28" t="str">
        <x:v>AR(1)背景和全扫描校正后，多数条件不显著；负结果限定在实际搜索带宽。</x:v>
      </x:c>
      <x:c r="P7" s="28" t="str">
        <x:v>https://raw.githubusercontent.com/ZYDTR/truthinsightbench-dwf-scoring/main/runs/Astronomy_02_gravity_spectral_structure/workspace/output/Result.md</x:v>
      </x:c>
    </x:row>
    <x:row r="8" ht="52" customHeight="1">
      <x:c r="A8" s="14" t="n">
        <x:v>3</x:v>
      </x:c>
      <x:c r="B8" s="14" t="str">
        <x:v>天文03｜恒星光谱边界</x:v>
      </x:c>
      <x:c r="C8" s="36" t="n">
        <x:f>MAX('参数'!$B$11,MIN('参数'!$B$12,'参数'!$B$3*D8+'参数'!$B$4*E8+H8+K8-L8))</x:f>
        <x:v>68.9</x:v>
      </x:c>
      <x:c r="D8" s="36" t="n">
        <x:f>LARGE('去重'!E16:E19,1)</x:f>
        <x:v>67.5</x:v>
      </x:c>
      <x:c r="E8" s="36" t="n">
        <x:f>LARGE('去重'!E16:E19,2)</x:f>
        <x:v>67</x:v>
      </x:c>
      <x:c r="F8" s="14" t="str">
        <x:v>F3 / F4</x:v>
      </x:c>
      <x:c r="G8" s="14" t="n">
        <x:f>COUNTIF('去重'!E16:E19,"&gt;="&amp;'参数'!$B$2)</x:f>
        <x:v>4</x:v>
      </x:c>
      <x:c r="H8" s="36" t="n">
        <x:f>MIN('参数'!$B$7,IF(G8=0,0,'参数'!$B$8+'参数'!$B$9*(G8-1)))</x:f>
        <x:v>10</x:v>
      </x:c>
      <x:c r="I8" s="36" t="n">
        <x:f>'目标恢复'!C8</x:f>
        <x:v>0.5</x:v>
      </x:c>
      <x:c r="J8" s="36" t="n">
        <x:f>'目标恢复'!E8</x:f>
        <x:v>0.5</x:v>
      </x:c>
      <x:c r="K8" s="36" t="n">
        <x:f>(I8+J8)*'参数'!$B$5</x:f>
        <x:v>5</x:v>
      </x:c>
      <x:c r="L8" s="36" t="n">
        <x:f>MIN('参数'!$B$6,SUM('去重'!G16:G19)*'参数'!$B$10)</x:f>
        <x:v>0</x:v>
      </x:c>
      <x:c r="M8" s="36" t="n">
        <x:f>MAX('参数'!$B$11,MIN('参数'!$B$12,'参数'!$B$3*(D8+'参数'!$B$13)+'参数'!$B$4*(E8+'参数'!$B$13)+MIN('参数'!$B$7,IF(COUNTIF('去重'!E16:E19,"&gt;="&amp;('参数'!$B$2-'参数'!$B$13))=0,0,'参数'!$B$8+'参数'!$B$9*(COUNTIF('去重'!E16:E19,"&gt;="&amp;('参数'!$B$2-'参数'!$B$13))-1)))+K8-L8))</x:f>
        <x:v>73.7</x:v>
      </x:c>
      <x:c r="N8" s="36" t="n">
        <x:f>MAX('参数'!$B$11,MIN('参数'!$B$12,'参数'!$B$3*LARGE('发现明细'!G16:G19,1)+'参数'!$B$4*LARGE('发现明细'!G16:G19,2)+MIN('参数'!$B$7,IF(COUNTIF('发现明细'!G16:G19,"&gt;="&amp;'参数'!$B$2)=0,0,'参数'!$B$8+'参数'!$B$9*(COUNTIF('发现明细'!G16:G19,"&gt;="&amp;'参数'!$B$2)-1)))+K8-L8))</x:f>
        <x:v>68.9</x:v>
      </x:c>
      <x:c r="O8" s="28" t="str">
        <x:v>校准窗口与窗外检验分开，舍入误差量级匹配；没有独立来源的新数据。</x:v>
      </x:c>
      <x:c r="P8" s="28" t="str">
        <x:v>https://raw.githubusercontent.com/ZYDTR/truthinsightbench-dwf-scoring/main/runs/Astronomy_03_stellar_spectral_boundary/workspace/output/Result.md</x:v>
      </x:c>
    </x:row>
    <x:row r="9" ht="52" customHeight="1">
      <x:c r="A9" s="14" t="n">
        <x:v>4</x:v>
      </x:c>
      <x:c r="B9" s="14" t="str">
        <x:v>化学01｜键焓与结构域</x:v>
      </x:c>
      <x:c r="C9" s="36" t="n">
        <x:f>MAX('参数'!$B$11,MIN('参数'!$B$12,'参数'!$B$3*D9+'参数'!$B$4*E9+H9+K9-L9))</x:f>
        <x:v>67.1</x:v>
      </x:c>
      <x:c r="D9" s="36" t="n">
        <x:f>LARGE('去重'!E20:E24,1)</x:f>
        <x:v>66.5</x:v>
      </x:c>
      <x:c r="E9" s="36" t="n">
        <x:f>LARGE('去重'!E20:E24,2)</x:f>
        <x:v>61</x:v>
      </x:c>
      <x:c r="F9" s="14" t="str">
        <x:v>F5 / F4</x:v>
      </x:c>
      <x:c r="G9" s="14" t="n">
        <x:f>COUNTIF('去重'!E20:E24,"&gt;="&amp;'参数'!$B$2)</x:f>
        <x:v>5</x:v>
      </x:c>
      <x:c r="H9" s="36" t="n">
        <x:f>MIN('参数'!$B$7,IF(G9=0,0,'参数'!$B$8+'参数'!$B$9*(G9-1)))</x:f>
        <x:v>10</x:v>
      </x:c>
      <x:c r="I9" s="36" t="n">
        <x:f>'目标恢复'!C9</x:f>
        <x:v>0.5</x:v>
      </x:c>
      <x:c r="J9" s="36" t="n">
        <x:f>'目标恢复'!E9</x:f>
        <x:v>0.5</x:v>
      </x:c>
      <x:c r="K9" s="36" t="n">
        <x:f>(I9+J9)*'参数'!$B$5</x:f>
        <x:v>5</x:v>
      </x:c>
      <x:c r="L9" s="36" t="n">
        <x:f>MIN('参数'!$B$6,SUM('去重'!G20:G24)*'参数'!$B$10)</x:f>
        <x:v>0</x:v>
      </x:c>
      <x:c r="M9" s="36" t="n">
        <x:f>MAX('参数'!$B$11,MIN('参数'!$B$12,'参数'!$B$3*(D9+'参数'!$B$13)+'参数'!$B$4*(E9+'参数'!$B$13)+MIN('参数'!$B$7,IF(COUNTIF('去重'!E20:E24,"&gt;="&amp;('参数'!$B$2-'参数'!$B$13))=0,0,'参数'!$B$8+'参数'!$B$9*(COUNTIF('去重'!E20:E24,"&gt;="&amp;('参数'!$B$2-'参数'!$B$13))-1)))+K9-L9))</x:f>
        <x:v>71.9</x:v>
      </x:c>
      <x:c r="N9" s="36" t="n">
        <x:f>MAX('参数'!$B$11,MIN('参数'!$B$12,'参数'!$B$3*LARGE('发现明细'!G20:G24,1)+'参数'!$B$4*LARGE('发现明细'!G20:G24,2)+MIN('参数'!$B$7,IF(COUNTIF('发现明细'!G20:G24,"&gt;="&amp;'参数'!$B$2)=0,0,'参数'!$B$8+'参数'!$B$9*(COUNTIF('发现明细'!G20:G24,"&gt;="&amp;'参数'!$B$2)-1)))+K9-L9))</x:f>
        <x:v>67.1</x:v>
      </x:c>
      <x:c r="O9" s="28" t="str">
        <x:v>改用预测值分层后高估缩小约54%，分子聚类区间仍偏正；回归均值替代得到实际检验。</x:v>
      </x:c>
      <x:c r="P9" s="28" t="str">
        <x:v>https://raw.githubusercontent.com/ZYDTR/truthinsightbench-dwf-scoring/main/runs/Chemistry_01_bond_enthalpy_domain/workspace/output/Result.md</x:v>
      </x:c>
    </x:row>
    <x:row r="10" ht="52" customHeight="1">
      <x:c r="A10" s="14" t="n">
        <x:v>5</x:v>
      </x:c>
      <x:c r="B10" s="14" t="str">
        <x:v>化学02｜光电离延迟</x:v>
      </x:c>
      <x:c r="C10" s="36" t="n">
        <x:f>MAX('参数'!$B$11,MIN('参数'!$B$12,'参数'!$B$3*D10+'参数'!$B$4*E10+H10+K10-L10))</x:f>
        <x:v>66.3</x:v>
      </x:c>
      <x:c r="D10" s="36" t="n">
        <x:f>LARGE('去重'!E25:E29,1)</x:f>
        <x:v>67.5</x:v>
      </x:c>
      <x:c r="E10" s="36" t="n">
        <x:f>LARGE('去重'!E25:E29,2)</x:f>
        <x:v>66.5</x:v>
      </x:c>
      <x:c r="F10" s="14" t="str">
        <x:v>F4 / F3</x:v>
      </x:c>
      <x:c r="G10" s="14" t="n">
        <x:f>COUNTIF('去重'!E25:E29,"&gt;="&amp;'参数'!$B$2)</x:f>
        <x:v>5</x:v>
      </x:c>
      <x:c r="H10" s="36" t="n">
        <x:f>MIN('参数'!$B$7,IF(G10=0,0,'参数'!$B$8+'参数'!$B$9*(G10-1)))</x:f>
        <x:v>10</x:v>
      </x:c>
      <x:c r="I10" s="36" t="n">
        <x:f>'目标恢复'!C10</x:f>
        <x:v>0</x:v>
      </x:c>
      <x:c r="J10" s="36" t="n">
        <x:f>'目标恢复'!E10</x:f>
        <x:v>0.5</x:v>
      </x:c>
      <x:c r="K10" s="36" t="n">
        <x:f>(I10+J10)*'参数'!$B$5</x:f>
        <x:v>2.5</x:v>
      </x:c>
      <x:c r="L10" s="36" t="n">
        <x:f>MIN('参数'!$B$6,SUM('去重'!G25:G29)*'参数'!$B$10)</x:f>
        <x:v>0</x:v>
      </x:c>
      <x:c r="M10" s="36" t="n">
        <x:f>MAX('参数'!$B$11,MIN('参数'!$B$12,'参数'!$B$3*(D10+'参数'!$B$13)+'参数'!$B$4*(E10+'参数'!$B$13)+MIN('参数'!$B$7,IF(COUNTIF('去重'!E25:E29,"&gt;="&amp;('参数'!$B$2-'参数'!$B$13))=0,0,'参数'!$B$8+'参数'!$B$9*(COUNTIF('去重'!E25:E29,"&gt;="&amp;('参数'!$B$2-'参数'!$B$13))-1)))+K10-L10))</x:f>
        <x:v>71.1</x:v>
      </x:c>
      <x:c r="N10" s="36" t="n">
        <x:f>MAX('参数'!$B$11,MIN('参数'!$B$12,'参数'!$B$3*LARGE('发现明细'!G25:G29,1)+'参数'!$B$4*LARGE('发现明细'!G25:G29,2)+MIN('参数'!$B$7,IF(COUNTIF('发现明细'!G25:G29,"&gt;="&amp;'参数'!$B$2)=0,0,'参数'!$B$8+'参数'!$B$9*(COUNTIF('发现明细'!G25:G29,"&gt;="&amp;'参数'!$B$2)-1)))+K10-L10))</x:f>
        <x:v>66.3</x:v>
      </x:c>
      <x:c r="O10" s="28" t="str">
        <x:v>多种插值与能量偏移远大于舍入误差；只能排除已测试生成路径。</x:v>
      </x:c>
      <x:c r="P10" s="28" t="str">
        <x:v>https://raw.githubusercontent.com/ZYDTR/truthinsightbench-dwf-scoring/main/runs/Chemistry_02_photoionization_delay/workspace/output/Result.md</x:v>
      </x:c>
    </x:row>
    <x:row r="11" ht="52" customHeight="1">
      <x:c r="A11" s="14" t="n">
        <x:v>6</x:v>
      </x:c>
      <x:c r="B11" s="14" t="str">
        <x:v>化学03｜催化响应曲面</x:v>
      </x:c>
      <x:c r="C11" s="36" t="n">
        <x:f>MAX('参数'!$B$11,MIN('参数'!$B$12,'参数'!$B$3*D11+'参数'!$B$4*E11+H11+K11-L11))</x:f>
        <x:v>70.1</x:v>
      </x:c>
      <x:c r="D11" s="36" t="n">
        <x:f>LARGE('去重'!E30:E34,1)</x:f>
        <x:v>69</x:v>
      </x:c>
      <x:c r="E11" s="36" t="n">
        <x:f>LARGE('去重'!E30:E34,2)</x:f>
        <x:v>68.5</x:v>
      </x:c>
      <x:c r="F11" s="14" t="str">
        <x:v>F2 / F1</x:v>
      </x:c>
      <x:c r="G11" s="14" t="n">
        <x:f>COUNTIF('去重'!E30:E34,"&gt;="&amp;'参数'!$B$2)</x:f>
        <x:v>5</x:v>
      </x:c>
      <x:c r="H11" s="36" t="n">
        <x:f>MIN('参数'!$B$7,IF(G11=0,0,'参数'!$B$8+'参数'!$B$9*(G11-1)))</x:f>
        <x:v>10</x:v>
      </x:c>
      <x:c r="I11" s="36" t="n">
        <x:f>'目标恢复'!C11</x:f>
        <x:v>0.5</x:v>
      </x:c>
      <x:c r="J11" s="36" t="n">
        <x:f>'目标恢复'!E11</x:f>
        <x:v>0.5</x:v>
      </x:c>
      <x:c r="K11" s="36" t="n">
        <x:f>(I11+J11)*'参数'!$B$5</x:f>
        <x:v>5</x:v>
      </x:c>
      <x:c r="L11" s="36" t="n">
        <x:f>MIN('参数'!$B$6,SUM('去重'!G30:G34)*'参数'!$B$10)</x:f>
        <x:v>0</x:v>
      </x:c>
      <x:c r="M11" s="36" t="n">
        <x:f>MAX('参数'!$B$11,MIN('参数'!$B$12,'参数'!$B$3*(D11+'参数'!$B$13)+'参数'!$B$4*(E11+'参数'!$B$13)+MIN('参数'!$B$7,IF(COUNTIF('去重'!E30:E34,"&gt;="&amp;('参数'!$B$2-'参数'!$B$13))=0,0,'参数'!$B$8+'参数'!$B$9*(COUNTIF('去重'!E30:E34,"&gt;="&amp;('参数'!$B$2-'参数'!$B$13))-1)))+K11-L11))</x:f>
        <x:v>74.9</x:v>
      </x:c>
      <x:c r="N11" s="36" t="n">
        <x:f>MAX('参数'!$B$11,MIN('参数'!$B$12,'参数'!$B$3*LARGE('发现明细'!G30:G34,1)+'参数'!$B$4*LARGE('发现明细'!G30:G34,2)+MIN('参数'!$B$7,IF(COUNTIF('发现明细'!G30:G34,"&gt;="&amp;'参数'!$B$2)=0,0,'参数'!$B$8+'参数'!$B$9*(COUNTIF('发现明细'!G30:G34,"&gt;="&amp;'参数'!$B$2)-1)))+K11-L11))</x:f>
        <x:v>70.1</x:v>
      </x:c>
      <x:c r="O11" s="28" t="str">
        <x:v>线性、保序和类别基线比较区分幅度与顺序；分半稳定性支持非单调边界。</x:v>
      </x:c>
      <x:c r="P11" s="28" t="str">
        <x:v>https://raw.githubusercontent.com/ZYDTR/truthinsightbench-dwf-scoring/main/runs/Chemistry_03_catalysis_response_landscape/workspace/output/Result.md</x:v>
      </x:c>
    </x:row>
    <x:row r="12" ht="52" customHeight="1">
      <x:c r="A12" s="14" t="n">
        <x:v>7</x:v>
      </x:c>
      <x:c r="B12" s="14" t="str">
        <x:v>地学01｜冰川与河流侵蚀</x:v>
      </x:c>
      <x:c r="C12" s="36" t="n">
        <x:f>MAX('参数'!$B$11,MIN('参数'!$B$12,'参数'!$B$3*D12+'参数'!$B$4*E12+H12+K12-L12))</x:f>
        <x:v>68.2</x:v>
      </x:c>
      <x:c r="D12" s="36" t="n">
        <x:f>LARGE('去重'!E35:E39,1)</x:f>
        <x:v>66.5</x:v>
      </x:c>
      <x:c r="E12" s="36" t="n">
        <x:f>LARGE('去重'!E35:E39,2)</x:f>
        <x:v>66.5</x:v>
      </x:c>
      <x:c r="F12" s="14" t="str">
        <x:v>F1 / F2</x:v>
      </x:c>
      <x:c r="G12" s="14" t="n">
        <x:f>COUNTIF('去重'!E35:E39,"&gt;="&amp;'参数'!$B$2)</x:f>
        <x:v>5</x:v>
      </x:c>
      <x:c r="H12" s="36" t="n">
        <x:f>MIN('参数'!$B$7,IF(G12=0,0,'参数'!$B$8+'参数'!$B$9*(G12-1)))</x:f>
        <x:v>10</x:v>
      </x:c>
      <x:c r="I12" s="36" t="n">
        <x:f>'目标恢复'!C12</x:f>
        <x:v>0.5</x:v>
      </x:c>
      <x:c r="J12" s="36" t="n">
        <x:f>'目标恢复'!E12</x:f>
        <x:v>0.5</x:v>
      </x:c>
      <x:c r="K12" s="36" t="n">
        <x:f>(I12+J12)*'参数'!$B$5</x:f>
        <x:v>5</x:v>
      </x:c>
      <x:c r="L12" s="36" t="n">
        <x:f>MIN('参数'!$B$6,SUM('去重'!G35:G39)*'参数'!$B$10)</x:f>
        <x:v>0</x:v>
      </x:c>
      <x:c r="M12" s="36" t="n">
        <x:f>MAX('参数'!$B$11,MIN('参数'!$B$12,'参数'!$B$3*(D12+'参数'!$B$13)+'参数'!$B$4*(E12+'参数'!$B$13)+MIN('参数'!$B$7,IF(COUNTIF('去重'!E35:E39,"&gt;="&amp;('参数'!$B$2-'参数'!$B$13))=0,0,'参数'!$B$8+'参数'!$B$9*(COUNTIF('去重'!E35:E39,"&gt;="&amp;('参数'!$B$2-'参数'!$B$13))-1)))+K12-L12))</x:f>
        <x:v>73</x:v>
      </x:c>
      <x:c r="N12" s="36" t="n">
        <x:f>MAX('参数'!$B$11,MIN('参数'!$B$12,'参数'!$B$3*LARGE('发现明细'!G35:G39,1)+'参数'!$B$4*LARGE('发现明细'!G35:G39,2)+MIN('参数'!$B$7,IF(COUNTIF('发现明细'!G35:G39,"&gt;="&amp;'参数'!$B$2)=0,0,'参数'!$B$8+'参数'!$B$9*(COUNTIF('发现明细'!G35:G39,"&gt;="&amp;'参数'!$B$2)-1)))+K12-L12))</x:f>
        <x:v>68.2</x:v>
      </x:c>
      <x:c r="O12" s="28" t="str">
        <x:v>重建原始量、研究级斜率与单位检查支持定义耦合；子集和总体的厚度统计不可替换。</x:v>
      </x:c>
      <x:c r="P12" s="28" t="str">
        <x:v>https://raw.githubusercontent.com/ZYDTR/truthinsightbench-dwf-scoring/main/runs/EarthScience_01_glacial_fluvial_erosion/workspace/output/Result.md</x:v>
      </x:c>
    </x:row>
    <x:row r="13" ht="52" customHeight="1">
      <x:c r="A13" s="14" t="n">
        <x:v>8</x:v>
      </x:c>
      <x:c r="B13" s="14" t="str">
        <x:v>地学02｜冰粒组成</x:v>
      </x:c>
      <x:c r="C13" s="36" t="n">
        <x:f>MAX('参数'!$B$11,MIN('参数'!$B$12,'参数'!$B$3*D13+'参数'!$B$4*E13+H13+K13-L13))</x:f>
        <x:v>68.2</x:v>
      </x:c>
      <x:c r="D13" s="36" t="n">
        <x:f>LARGE('去重'!E40:E44,1)</x:f>
        <x:v>66.5</x:v>
      </x:c>
      <x:c r="E13" s="36" t="n">
        <x:f>LARGE('去重'!E40:E44,2)</x:f>
        <x:v>66.5</x:v>
      </x:c>
      <x:c r="F13" s="14" t="str">
        <x:v>F1 / F2</x:v>
      </x:c>
      <x:c r="G13" s="14" t="n">
        <x:f>COUNTIF('去重'!E40:E44,"&gt;="&amp;'参数'!$B$2)</x:f>
        <x:v>5</x:v>
      </x:c>
      <x:c r="H13" s="36" t="n">
        <x:f>MIN('参数'!$B$7,IF(G13=0,0,'参数'!$B$8+'参数'!$B$9*(G13-1)))</x:f>
        <x:v>10</x:v>
      </x:c>
      <x:c r="I13" s="36" t="n">
        <x:f>'目标恢复'!C13</x:f>
        <x:v>0.5</x:v>
      </x:c>
      <x:c r="J13" s="36" t="n">
        <x:f>'目标恢复'!E13</x:f>
        <x:v>0.5</x:v>
      </x:c>
      <x:c r="K13" s="36" t="n">
        <x:f>(I13+J13)*'参数'!$B$5</x:f>
        <x:v>5</x:v>
      </x:c>
      <x:c r="L13" s="36" t="n">
        <x:f>MIN('参数'!$B$6,SUM('去重'!G40:G44)*'参数'!$B$10)</x:f>
        <x:v>0</x:v>
      </x:c>
      <x:c r="M13" s="36" t="n">
        <x:f>MAX('参数'!$B$11,MIN('参数'!$B$12,'参数'!$B$3*(D13+'参数'!$B$13)+'参数'!$B$4*(E13+'参数'!$B$13)+MIN('参数'!$B$7,IF(COUNTIF('去重'!E40:E44,"&gt;="&amp;('参数'!$B$2-'参数'!$B$13))=0,0,'参数'!$B$8+'参数'!$B$9*(COUNTIF('去重'!E40:E44,"&gt;="&amp;('参数'!$B$2-'参数'!$B$13))-1)))+K13-L13))</x:f>
        <x:v>73</x:v>
      </x:c>
      <x:c r="N13" s="36" t="n">
        <x:f>MAX('参数'!$B$11,MIN('参数'!$B$12,'参数'!$B$3*LARGE('发现明细'!G40:G44,1)+'参数'!$B$4*LARGE('发现明细'!G40:G44,2)+MIN('参数'!$B$7,IF(COUNTIF('发现明细'!G40:G44,"&gt;="&amp;'参数'!$B$2)=0,0,'参数'!$B$8+'参数'!$B$9*(COUNTIF('发现明细'!G40:G44,"&gt;="&amp;'参数'!$B$2)-1)))+K13-L13))</x:f>
        <x:v>68.2</x:v>
      </x:c>
      <x:c r="O13" s="28" t="str">
        <x:v>五站整组置换及删站结论不显著；把深度效应限制在实际统计功效内。</x:v>
      </x:c>
      <x:c r="P13" s="28" t="str">
        <x:v>https://raw.githubusercontent.com/ZYDTR/truthinsightbench-dwf-scoring/main/runs/EarthScience_02_ice_particle_composition/workspace/output/Result.md</x:v>
      </x:c>
    </x:row>
    <x:row r="14" ht="52" customHeight="1">
      <x:c r="A14" s="14" t="n">
        <x:v>9</x:v>
      </x:c>
      <x:c r="B14" s="14" t="str">
        <x:v>地学03｜冰芯事件结构</x:v>
      </x:c>
      <x:c r="C14" s="36" t="n">
        <x:f>MAX('参数'!$B$11,MIN('参数'!$B$12,'参数'!$B$3*D14+'参数'!$B$4*E14+H14+K14-L14))</x:f>
        <x:v>69.19999999999999</x:v>
      </x:c>
      <x:c r="D14" s="36" t="n">
        <x:f>LARGE('去重'!E45:E49,1)</x:f>
        <x:v>68</x:v>
      </x:c>
      <x:c r="E14" s="36" t="n">
        <x:f>LARGE('去重'!E45:E49,2)</x:f>
        <x:v>67</x:v>
      </x:c>
      <x:c r="F14" s="14" t="str">
        <x:v>F2 / F4</x:v>
      </x:c>
      <x:c r="G14" s="14" t="n">
        <x:f>COUNTIF('去重'!E45:E49,"&gt;="&amp;'参数'!$B$2)</x:f>
        <x:v>5</x:v>
      </x:c>
      <x:c r="H14" s="36" t="n">
        <x:f>MIN('参数'!$B$7,IF(G14=0,0,'参数'!$B$8+'参数'!$B$9*(G14-1)))</x:f>
        <x:v>10</x:v>
      </x:c>
      <x:c r="I14" s="36" t="n">
        <x:f>'目标恢复'!C14</x:f>
        <x:v>0.5</x:v>
      </x:c>
      <x:c r="J14" s="36" t="n">
        <x:f>'目标恢复'!E14</x:f>
        <x:v>0.5</x:v>
      </x:c>
      <x:c r="K14" s="36" t="n">
        <x:f>(I14+J14)*'参数'!$B$5</x:f>
        <x:v>5</x:v>
      </x:c>
      <x:c r="L14" s="36" t="n">
        <x:f>MIN('参数'!$B$6,SUM('去重'!G45:G49)*'参数'!$B$10)</x:f>
        <x:v>0</x:v>
      </x:c>
      <x:c r="M14" s="36" t="n">
        <x:f>MAX('参数'!$B$11,MIN('参数'!$B$12,'参数'!$B$3*(D14+'参数'!$B$13)+'参数'!$B$4*(E14+'参数'!$B$13)+MIN('参数'!$B$7,IF(COUNTIF('去重'!E45:E49,"&gt;="&amp;('参数'!$B$2-'参数'!$B$13))=0,0,'参数'!$B$8+'参数'!$B$9*(COUNTIF('去重'!E45:E49,"&gt;="&amp;('参数'!$B$2-'参数'!$B$13))-1)))+K14-L14))</x:f>
        <x:v>74</x:v>
      </x:c>
      <x:c r="N14" s="36" t="n">
        <x:f>MAX('参数'!$B$11,MIN('参数'!$B$12,'参数'!$B$3*LARGE('发现明细'!G45:G49,1)+'参数'!$B$4*LARGE('发现明细'!G45:G49,2)+MIN('参数'!$B$7,IF(COUNTIF('发现明细'!G45:G49,"&gt;="&amp;'参数'!$B$2)=0,0,'参数'!$B$8+'参数'!$B$9*(COUNTIF('发现明细'!G45:G49,"&gt;="&amp;'参数'!$B$2)-1)))+K14-L14))</x:f>
        <x:v>69.19999999999999</x:v>
      </x:c>
      <x:c r="O14" s="28" t="str">
        <x:v>物理积分约21.222，对照累计27.060；左右端点、冰当量替代均不足弥合。解释仍取决于列含义。</x:v>
      </x:c>
      <x:c r="P14" s="28" t="str">
        <x:v>https://raw.githubusercontent.com/ZYDTR/truthinsightbench-dwf-scoring/main/runs/EarthScience_03_ice_core_event_structure/workspace/output/Result.md</x:v>
      </x:c>
    </x:row>
    <x:row r="15" ht="52" customHeight="1">
      <x:c r="A15" s="14" t="n">
        <x:v>10</x:v>
      </x:c>
      <x:c r="B15" s="14" t="str">
        <x:v>地学04｜海洋热耦合</x:v>
      </x:c>
      <x:c r="C15" s="36" t="n">
        <x:f>MAX('参数'!$B$11,MIN('参数'!$B$12,'参数'!$B$3*D15+'参数'!$B$4*E15+H15+K15-L15))</x:f>
        <x:v>69.80000000000001</x:v>
      </x:c>
      <x:c r="D15" s="36" t="n">
        <x:f>LARGE('去重'!E50:E54,1)</x:f>
        <x:v>68.5</x:v>
      </x:c>
      <x:c r="E15" s="36" t="n">
        <x:f>LARGE('去重'!E50:E54,2)</x:f>
        <x:v>68.5</x:v>
      </x:c>
      <x:c r="F15" s="14" t="str">
        <x:v>F2 / F5</x:v>
      </x:c>
      <x:c r="G15" s="14" t="n">
        <x:f>COUNTIF('去重'!E50:E54,"&gt;="&amp;'参数'!$B$2)</x:f>
        <x:v>5</x:v>
      </x:c>
      <x:c r="H15" s="36" t="n">
        <x:f>MIN('参数'!$B$7,IF(G15=0,0,'参数'!$B$8+'参数'!$B$9*(G15-1)))</x:f>
        <x:v>10</x:v>
      </x:c>
      <x:c r="I15" s="36" t="n">
        <x:f>'目标恢复'!C15</x:f>
        <x:v>0.5</x:v>
      </x:c>
      <x:c r="J15" s="36" t="n">
        <x:f>'目标恢复'!E15</x:f>
        <x:v>0.5</x:v>
      </x:c>
      <x:c r="K15" s="36" t="n">
        <x:f>(I15+J15)*'参数'!$B$5</x:f>
        <x:v>5</x:v>
      </x:c>
      <x:c r="L15" s="36" t="n">
        <x:f>MIN('参数'!$B$6,SUM('去重'!G50:G54)*'参数'!$B$10)</x:f>
        <x:v>0</x:v>
      </x:c>
      <x:c r="M15" s="36" t="n">
        <x:f>MAX('参数'!$B$11,MIN('参数'!$B$12,'参数'!$B$3*(D15+'参数'!$B$13)+'参数'!$B$4*(E15+'参数'!$B$13)+MIN('参数'!$B$7,IF(COUNTIF('去重'!E50:E54,"&gt;="&amp;('参数'!$B$2-'参数'!$B$13))=0,0,'参数'!$B$8+'参数'!$B$9*(COUNTIF('去重'!E50:E54,"&gt;="&amp;('参数'!$B$2-'参数'!$B$13))-1)))+K15-L15))</x:f>
        <x:v>74.6</x:v>
      </x:c>
      <x:c r="N15" s="36" t="n">
        <x:f>MAX('参数'!$B$11,MIN('参数'!$B$12,'参数'!$B$3*LARGE('发现明细'!G50:G54,1)+'参数'!$B$4*LARGE('发现明细'!G50:G54,2)+MIN('参数'!$B$7,IF(COUNTIF('发现明细'!G50:G54,"&gt;="&amp;'参数'!$B$2)=0,0,'参数'!$B$8+'参数'!$B$9*(COUNTIF('发现明细'!G50:G54,"&gt;="&amp;'参数'!$B$2)-1)))+K15-L15))</x:f>
        <x:v>69.80000000000001</x:v>
      </x:c>
      <x:c r="O15" s="28" t="str">
        <x:v>分离区段相位一致，并承认坐标高度共源和幅度随窗变化；不将重叠窗当新证据。</x:v>
      </x:c>
      <x:c r="P15" s="28" t="str">
        <x:v>https://raw.githubusercontent.com/ZYDTR/truthinsightbench-dwf-scoring/main/runs/EarthScience_04_ocean_thermal_coupling/workspace/output/Result.md</x:v>
      </x:c>
    </x:row>
    <x:row r="16" ht="52" customHeight="1">
      <x:c r="A16" s="14" t="n">
        <x:v>11</x:v>
      </x:c>
      <x:c r="B16" s="14" t="str">
        <x:v>能源01｜光催化权衡</x:v>
      </x:c>
      <x:c r="C16" s="36" t="n">
        <x:f>MAX('参数'!$B$11,MIN('参数'!$B$12,'参数'!$B$3*D16+'参数'!$B$4*E16+H16+K16-L16))</x:f>
        <x:v>69.80000000000001</x:v>
      </x:c>
      <x:c r="D16" s="36" t="n">
        <x:f>LARGE('去重'!E55:E59,1)</x:f>
        <x:v>68.5</x:v>
      </x:c>
      <x:c r="E16" s="36" t="n">
        <x:f>LARGE('去重'!E55:E59,2)</x:f>
        <x:v>68.5</x:v>
      </x:c>
      <x:c r="F16" s="14" t="str">
        <x:v>F1 / F2</x:v>
      </x:c>
      <x:c r="G16" s="14" t="n">
        <x:f>COUNTIF('去重'!E55:E59,"&gt;="&amp;'参数'!$B$2)</x:f>
        <x:v>5</x:v>
      </x:c>
      <x:c r="H16" s="36" t="n">
        <x:f>MIN('参数'!$B$7,IF(G16=0,0,'参数'!$B$8+'参数'!$B$9*(G16-1)))</x:f>
        <x:v>10</x:v>
      </x:c>
      <x:c r="I16" s="36" t="n">
        <x:f>'目标恢复'!C16</x:f>
        <x:v>0.5</x:v>
      </x:c>
      <x:c r="J16" s="36" t="n">
        <x:f>'目标恢复'!E16</x:f>
        <x:v>0.5</x:v>
      </x:c>
      <x:c r="K16" s="36" t="n">
        <x:f>(I16+J16)*'参数'!$B$5</x:f>
        <x:v>5</x:v>
      </x:c>
      <x:c r="L16" s="36" t="n">
        <x:f>MIN('参数'!$B$6,SUM('去重'!G55:G59)*'参数'!$B$10)</x:f>
        <x:v>0</x:v>
      </x:c>
      <x:c r="M16" s="36" t="n">
        <x:f>MAX('参数'!$B$11,MIN('参数'!$B$12,'参数'!$B$3*(D16+'参数'!$B$13)+'参数'!$B$4*(E16+'参数'!$B$13)+MIN('参数'!$B$7,IF(COUNTIF('去重'!E55:E59,"&gt;="&amp;('参数'!$B$2-'参数'!$B$13))=0,0,'参数'!$B$8+'参数'!$B$9*(COUNTIF('去重'!E55:E59,"&gt;="&amp;('参数'!$B$2-'参数'!$B$13))-1)))+K16-L16))</x:f>
        <x:v>74.6</x:v>
      </x:c>
      <x:c r="N16" s="36" t="n">
        <x:f>MAX('参数'!$B$11,MIN('参数'!$B$12,'参数'!$B$3*LARGE('发现明细'!G55:G59,1)+'参数'!$B$4*LARGE('发现明细'!G55:G59,2)+MIN('参数'!$B$7,IF(COUNTIF('发现明细'!G55:G59,"&gt;="&amp;'参数'!$B$2)=0,0,'参数'!$B$8+'参数'!$B$9*(COUNTIF('发现明细'!G55:G59,"&gt;="&amp;'参数'!$B$2)-1)))+K16-L16))</x:f>
        <x:v>69.80000000000001</x:v>
      </x:c>
      <x:c r="O16" s="28" t="str">
        <x:v>各曲线仅5点；模型竞争、留点失败与AICc边界保留，未把拟合优胜解释为唯一机制。</x:v>
      </x:c>
      <x:c r="P16" s="28" t="str">
        <x:v>https://raw.githubusercontent.com/ZYDTR/truthinsightbench-dwf-scoring/main/runs/Energy_01_photocatalytic_tradeoffs/workspace/output/Result.md</x:v>
      </x:c>
    </x:row>
    <x:row r="17" ht="52" customHeight="1">
      <x:c r="A17" s="14" t="n">
        <x:v>12</x:v>
      </x:c>
      <x:c r="B17" s="14" t="str">
        <x:v>能源02｜液流电池边界</x:v>
      </x:c>
      <x:c r="C17" s="36" t="n">
        <x:f>MAX('参数'!$B$11,MIN('参数'!$B$12,'参数'!$B$3*D17+'参数'!$B$4*E17+H17+K17-L17))</x:f>
        <x:v>69.2</x:v>
      </x:c>
      <x:c r="D17" s="36" t="n">
        <x:f>LARGE('去重'!E60:E64,1)</x:f>
        <x:v>68.5</x:v>
      </x:c>
      <x:c r="E17" s="36" t="n">
        <x:f>LARGE('去重'!E60:E64,2)</x:f>
        <x:v>65.5</x:v>
      </x:c>
      <x:c r="F17" s="14" t="str">
        <x:v>F5 / F1</x:v>
      </x:c>
      <x:c r="G17" s="14" t="n">
        <x:f>COUNTIF('去重'!E60:E64,"&gt;="&amp;'参数'!$B$2)</x:f>
        <x:v>5</x:v>
      </x:c>
      <x:c r="H17" s="36" t="n">
        <x:f>MIN('参数'!$B$7,IF(G17=0,0,'参数'!$B$8+'参数'!$B$9*(G17-1)))</x:f>
        <x:v>10</x:v>
      </x:c>
      <x:c r="I17" s="36" t="n">
        <x:f>'目标恢复'!C17</x:f>
        <x:v>0.5</x:v>
      </x:c>
      <x:c r="J17" s="36" t="n">
        <x:f>'目标恢复'!E17</x:f>
        <x:v>0.5</x:v>
      </x:c>
      <x:c r="K17" s="36" t="n">
        <x:f>(I17+J17)*'参数'!$B$5</x:f>
        <x:v>5</x:v>
      </x:c>
      <x:c r="L17" s="36" t="n">
        <x:f>MIN('参数'!$B$6,SUM('去重'!G60:G64)*'参数'!$B$10)</x:f>
        <x:v>0</x:v>
      </x:c>
      <x:c r="M17" s="36" t="n">
        <x:f>MAX('参数'!$B$11,MIN('参数'!$B$12,'参数'!$B$3*(D17+'参数'!$B$13)+'参数'!$B$4*(E17+'参数'!$B$13)+MIN('参数'!$B$7,IF(COUNTIF('去重'!E60:E64,"&gt;="&amp;('参数'!$B$2-'参数'!$B$13))=0,0,'参数'!$B$8+'参数'!$B$9*(COUNTIF('去重'!E60:E64,"&gt;="&amp;('参数'!$B$2-'参数'!$B$13))-1)))+K17-L17))</x:f>
        <x:v>74</x:v>
      </x:c>
      <x:c r="N17" s="36" t="n">
        <x:f>MAX('参数'!$B$11,MIN('参数'!$B$12,'参数'!$B$3*LARGE('发现明细'!G60:G64,1)+'参数'!$B$4*LARGE('发现明细'!G60:G64,2)+MIN('参数'!$B$7,IF(COUNTIF('发现明细'!G60:G64,"&gt;="&amp;'参数'!$B$2)=0,0,'参数'!$B$8+'参数'!$B$9*(COUNTIF('发现明细'!G60:G64,"&gt;="&amp;'参数'!$B$2)-1)))+K17-L17))</x:f>
        <x:v>69.2</x:v>
      </x:c>
      <x:c r="O17" s="28" t="str">
        <x:v>分块区间支持负斜率，变化点在分块零模型中不显著；不能把平台窗口当稳健机制。</x:v>
      </x:c>
      <x:c r="P17" s="28" t="str">
        <x:v>https://raw.githubusercontent.com/ZYDTR/truthinsightbench-dwf-scoring/main/runs/Energy_02_flow_battery_operating_boundary/workspace/output/Result.md</x:v>
      </x:c>
    </x:row>
    <x:row r="18" ht="52" customHeight="1">
      <x:c r="A18" s="14" t="n">
        <x:v>13</x:v>
      </x:c>
      <x:c r="B18" s="14" t="str">
        <x:v>能源03｜界面响应边界</x:v>
      </x:c>
      <x:c r="C18" s="36" t="n">
        <x:f>MAX('参数'!$B$11,MIN('参数'!$B$12,'参数'!$B$3*D18+'参数'!$B$4*E18+H18+K18-L18))</x:f>
        <x:v>69.4</x:v>
      </x:c>
      <x:c r="D18" s="36" t="n">
        <x:f>LARGE('去重'!E65:E69,1)</x:f>
        <x:v>68.5</x:v>
      </x:c>
      <x:c r="E18" s="36" t="n">
        <x:f>LARGE('去重'!E65:E69,2)</x:f>
        <x:v>66.5</x:v>
      </x:c>
      <x:c r="F18" s="14" t="str">
        <x:v>F4 / F1</x:v>
      </x:c>
      <x:c r="G18" s="14" t="n">
        <x:f>COUNTIF('去重'!E65:E69,"&gt;="&amp;'参数'!$B$2)</x:f>
        <x:v>5</x:v>
      </x:c>
      <x:c r="H18" s="36" t="n">
        <x:f>MIN('参数'!$B$7,IF(G18=0,0,'参数'!$B$8+'参数'!$B$9*(G18-1)))</x:f>
        <x:v>10</x:v>
      </x:c>
      <x:c r="I18" s="36" t="n">
        <x:f>'目标恢复'!C18</x:f>
        <x:v>0.5</x:v>
      </x:c>
      <x:c r="J18" s="36" t="n">
        <x:f>'目标恢复'!E18</x:f>
        <x:v>0.5</x:v>
      </x:c>
      <x:c r="K18" s="36" t="n">
        <x:f>(I18+J18)*'参数'!$B$5</x:f>
        <x:v>5</x:v>
      </x:c>
      <x:c r="L18" s="36" t="n">
        <x:f>MIN('参数'!$B$6,SUM('去重'!G65:G69)*'参数'!$B$10)</x:f>
        <x:v>0</x:v>
      </x:c>
      <x:c r="M18" s="36" t="n">
        <x:f>MAX('参数'!$B$11,MIN('参数'!$B$12,'参数'!$B$3*(D18+'参数'!$B$13)+'参数'!$B$4*(E18+'参数'!$B$13)+MIN('参数'!$B$7,IF(COUNTIF('去重'!E65:E69,"&gt;="&amp;('参数'!$B$2-'参数'!$B$13))=0,0,'参数'!$B$8+'参数'!$B$9*(COUNTIF('去重'!E65:E69,"&gt;="&amp;('参数'!$B$2-'参数'!$B$13))-1)))+K18-L18))</x:f>
        <x:v>74.19999999999999</x:v>
      </x:c>
      <x:c r="N18" s="36" t="n">
        <x:f>MAX('参数'!$B$11,MIN('参数'!$B$12,'参数'!$B$3*LARGE('发现明细'!G65:G69,1)+'参数'!$B$4*LARGE('发现明细'!G65:G69,2)+MIN('参数'!$B$7,IF(COUNTIF('发现明细'!G65:G69,"&gt;="&amp;'参数'!$B$2)=0,0,'参数'!$B$8+'参数'!$B$9*(COUNTIF('发现明细'!G65:G69,"&gt;="&amp;'参数'!$B$2)-1)))+K18-L18))</x:f>
        <x:v>69.4</x:v>
      </x:c>
      <x:c r="O18" s="28" t="str">
        <x:v>训练≤280、预测300/320的比较有实质性分离；上限位置仍欠稳定，不等于已测得天花板。</x:v>
      </x:c>
      <x:c r="P18" s="28" t="str">
        <x:v>https://raw.githubusercontent.com/ZYDTR/truthinsightbench-dwf-scoring/main/runs/Energy_03_interface_response_boundaries/workspace/output/Result.md</x:v>
      </x:c>
    </x:row>
    <x:row r="19" ht="52" customHeight="1">
      <x:c r="A19" s="14" t="n">
        <x:v>14</x:v>
      </x:c>
      <x:c r="B19" s="14" t="str">
        <x:v>能源04｜生物杂化权衡</x:v>
      </x:c>
      <x:c r="C19" s="36" t="n">
        <x:f>MAX('参数'!$B$11,MIN('参数'!$B$12,'参数'!$B$3*D19+'参数'!$B$4*E19+H19+K19-L19))</x:f>
        <x:v>72.6</x:v>
      </x:c>
      <x:c r="D19" s="36" t="n">
        <x:f>LARGE('去重'!E70:E74,1)</x:f>
        <x:v>66.5</x:v>
      </x:c>
      <x:c r="E19" s="36" t="n">
        <x:f>LARGE('去重'!E70:E74,2)</x:f>
        <x:v>63.5</x:v>
      </x:c>
      <x:c r="F19" s="14" t="str">
        <x:v>F3 / F5</x:v>
      </x:c>
      <x:c r="G19" s="14" t="n">
        <x:f>COUNTIF('去重'!E70:E74,"&gt;="&amp;'参数'!$B$2)</x:f>
        <x:v>5</x:v>
      </x:c>
      <x:c r="H19" s="36" t="n">
        <x:f>MIN('参数'!$B$7,IF(G19=0,0,'参数'!$B$8+'参数'!$B$9*(G19-1)))</x:f>
        <x:v>10</x:v>
      </x:c>
      <x:c r="I19" s="36" t="n">
        <x:f>'目标恢复'!C19</x:f>
        <x:v>1</x:v>
      </x:c>
      <x:c r="J19" s="36" t="n">
        <x:f>'目标恢复'!E19</x:f>
        <x:v>1</x:v>
      </x:c>
      <x:c r="K19" s="36" t="n">
        <x:f>(I19+J19)*'参数'!$B$5</x:f>
        <x:v>10</x:v>
      </x:c>
      <x:c r="L19" s="36" t="n">
        <x:f>MIN('参数'!$B$6,SUM('去重'!G70:G74)*'参数'!$B$10)</x:f>
        <x:v>0</x:v>
      </x:c>
      <x:c r="M19" s="36" t="n">
        <x:f>MAX('参数'!$B$11,MIN('参数'!$B$12,'参数'!$B$3*(D19+'参数'!$B$13)+'参数'!$B$4*(E19+'参数'!$B$13)+MIN('参数'!$B$7,IF(COUNTIF('去重'!E70:E74,"&gt;="&amp;('参数'!$B$2-'参数'!$B$13))=0,0,'参数'!$B$8+'参数'!$B$9*(COUNTIF('去重'!E70:E74,"&gt;="&amp;('参数'!$B$2-'参数'!$B$13))-1)))+K19-L19))</x:f>
        <x:v>77.4</x:v>
      </x:c>
      <x:c r="N19" s="36" t="n">
        <x:f>MAX('参数'!$B$11,MIN('参数'!$B$12,'参数'!$B$3*LARGE('发现明细'!G70:G74,1)+'参数'!$B$4*LARGE('发现明细'!G70:G74,2)+MIN('参数'!$B$7,IF(COUNTIF('发现明细'!G70:G74,"&gt;="&amp;'参数'!$B$2)=0,0,'参数'!$B$8+'参数'!$B$9*(COUNTIF('发现明细'!G70:G74,"&gt;="&amp;'参数'!$B$2)-1)))+K19-L19))</x:f>
        <x:v>72.6</x:v>
      </x:c>
      <x:c r="O19" s="28" t="str">
        <x:v>基线近零相关、尾段强相关而差分后减弱；分段/切点敏感性支持条件边界。</x:v>
      </x:c>
      <x:c r="P19" s="28" t="str">
        <x:v>https://raw.githubusercontent.com/ZYDTR/truthinsightbench-dwf-scoring/main/runs/Energy_04_biohybrid_operating_tradeoffs/workspace/output/Result.md</x:v>
      </x:c>
    </x:row>
    <x:row r="20" ht="52" customHeight="1">
      <x:c r="A20" s="14" t="n">
        <x:v>15</x:v>
      </x:c>
      <x:c r="B20" s="14" t="str">
        <x:v>信息03｜信号曲面不变量</x:v>
      </x:c>
      <x:c r="C20" s="36" t="n">
        <x:f>MAX('参数'!$B$11,MIN('参数'!$B$12,'参数'!$B$3*D20+'参数'!$B$4*E20+H20+K20-L20))</x:f>
        <x:v>66.9</x:v>
      </x:c>
      <x:c r="D20" s="36" t="n">
        <x:f>LARGE('去重'!E75:E79,1)</x:f>
        <x:v>68.5</x:v>
      </x:c>
      <x:c r="E20" s="36" t="n">
        <x:f>LARGE('去重'!E75:E79,2)</x:f>
        <x:v>66.5</x:v>
      </x:c>
      <x:c r="F20" s="14" t="str">
        <x:v>F1 / F2</x:v>
      </x:c>
      <x:c r="G20" s="14" t="n">
        <x:f>COUNTIF('去重'!E75:E79,"&gt;="&amp;'参数'!$B$2)</x:f>
        <x:v>5</x:v>
      </x:c>
      <x:c r="H20" s="36" t="n">
        <x:f>MIN('参数'!$B$7,IF(G20=0,0,'参数'!$B$8+'参数'!$B$9*(G20-1)))</x:f>
        <x:v>10</x:v>
      </x:c>
      <x:c r="I20" s="36" t="n">
        <x:f>'目标恢复'!C20</x:f>
        <x:v>0.5</x:v>
      </x:c>
      <x:c r="J20" s="36" t="n">
        <x:f>'目标恢复'!E20</x:f>
        <x:v>0</x:v>
      </x:c>
      <x:c r="K20" s="36" t="n">
        <x:f>(I20+J20)*'参数'!$B$5</x:f>
        <x:v>2.5</x:v>
      </x:c>
      <x:c r="L20" s="36" t="n">
        <x:f>MIN('参数'!$B$6,SUM('去重'!G75:G79)*'参数'!$B$10)</x:f>
        <x:v>0</x:v>
      </x:c>
      <x:c r="M20" s="36" t="n">
        <x:f>MAX('参数'!$B$11,MIN('参数'!$B$12,'参数'!$B$3*(D20+'参数'!$B$13)+'参数'!$B$4*(E20+'参数'!$B$13)+MIN('参数'!$B$7,IF(COUNTIF('去重'!E75:E79,"&gt;="&amp;('参数'!$B$2-'参数'!$B$13))=0,0,'参数'!$B$8+'参数'!$B$9*(COUNTIF('去重'!E75:E79,"&gt;="&amp;('参数'!$B$2-'参数'!$B$13))-1)))+K20-L20))</x:f>
        <x:v>71.69999999999999</x:v>
      </x:c>
      <x:c r="N20" s="36" t="n">
        <x:f>MAX('参数'!$B$11,MIN('参数'!$B$12,'参数'!$B$3*LARGE('发现明细'!G75:G79,1)+'参数'!$B$4*LARGE('发现明细'!G75:G79,2)+MIN('参数'!$B$7,IF(COUNTIF('发现明细'!G75:G79,"&gt;="&amp;'参数'!$B$2)=0,0,'参数'!$B$8+'参数'!$B$9*(COUNTIF('发现明细'!G75:G79,"&gt;="&amp;'参数'!$B$2)-1)))+K20-L20))</x:f>
        <x:v>66.9</x:v>
      </x:c>
      <x:c r="O20" s="28" t="str">
        <x:v>秩一解释率约0.955，异方差零模型和完整留出检验有区分力；其尺度依赖由F2明确。</x:v>
      </x:c>
      <x:c r="P20" s="28" t="str">
        <x:v>https://raw.githubusercontent.com/ZYDTR/truthinsightbench-dwf-scoring/main/runs/Information_03_signal_surface_invariants/workspace/output/Result.md</x:v>
      </x:c>
    </x:row>
    <x:row r="21" ht="52" customHeight="1">
      <x:c r="A21" s="14" t="n">
        <x:v>16</x:v>
      </x:c>
      <x:c r="B21" s="14" t="str">
        <x:v>生命02｜情境免疫响应</x:v>
      </x:c>
      <x:c r="C21" s="36" t="n">
        <x:f>MAX('参数'!$B$11,MIN('参数'!$B$12,'参数'!$B$3*D21+'参数'!$B$4*E21+H21+K21-L21))</x:f>
        <x:v>69.80000000000001</x:v>
      </x:c>
      <x:c r="D21" s="36" t="n">
        <x:f>LARGE('去重'!E80:E84,1)</x:f>
        <x:v>68.5</x:v>
      </x:c>
      <x:c r="E21" s="36" t="n">
        <x:f>LARGE('去重'!E80:E84,2)</x:f>
        <x:v>68.5</x:v>
      </x:c>
      <x:c r="F21" s="14" t="str">
        <x:v>F2 / F4</x:v>
      </x:c>
      <x:c r="G21" s="14" t="n">
        <x:f>COUNTIF('去重'!E80:E84,"&gt;="&amp;'参数'!$B$2)</x:f>
        <x:v>5</x:v>
      </x:c>
      <x:c r="H21" s="36" t="n">
        <x:f>MIN('参数'!$B$7,IF(G21=0,0,'参数'!$B$8+'参数'!$B$9*(G21-1)))</x:f>
        <x:v>10</x:v>
      </x:c>
      <x:c r="I21" s="36" t="n">
        <x:f>'目标恢复'!C21</x:f>
        <x:v>0.5</x:v>
      </x:c>
      <x:c r="J21" s="36" t="n">
        <x:f>'目标恢复'!E21</x:f>
        <x:v>0.5</x:v>
      </x:c>
      <x:c r="K21" s="36" t="n">
        <x:f>(I21+J21)*'参数'!$B$5</x:f>
        <x:v>5</x:v>
      </x:c>
      <x:c r="L21" s="36" t="n">
        <x:f>MIN('参数'!$B$6,SUM('去重'!G80:G84)*'参数'!$B$10)</x:f>
        <x:v>0</x:v>
      </x:c>
      <x:c r="M21" s="36" t="n">
        <x:f>MAX('参数'!$B$11,MIN('参数'!$B$12,'参数'!$B$3*(D21+'参数'!$B$13)+'参数'!$B$4*(E21+'参数'!$B$13)+MIN('参数'!$B$7,IF(COUNTIF('去重'!E80:E84,"&gt;="&amp;('参数'!$B$2-'参数'!$B$13))=0,0,'参数'!$B$8+'参数'!$B$9*(COUNTIF('去重'!E80:E84,"&gt;="&amp;('参数'!$B$2-'参数'!$B$13))-1)))+K21-L21))</x:f>
        <x:v>74.6</x:v>
      </x:c>
      <x:c r="N21" s="36" t="n">
        <x:f>MAX('参数'!$B$11,MIN('参数'!$B$12,'参数'!$B$3*LARGE('发现明细'!G80:G84,1)+'参数'!$B$4*LARGE('发现明细'!G80:G84,2)+MIN('参数'!$B$7,IF(COUNTIF('发现明细'!G80:G84,"&gt;="&amp;'参数'!$B$2)=0,0,'参数'!$B$8+'参数'!$B$9*(COUNTIF('发现明细'!G80:G84,"&gt;="&amp;'参数'!$B$2)-1)))+K21-L21))</x:f>
        <x:v>69.80000000000001</x:v>
      </x:c>
      <x:c r="O21" s="28" t="str">
        <x:v>留一assay外预测与常数基线比较直接检验转移，失败被纳入最终结论。</x:v>
      </x:c>
      <x:c r="P21" s="28" t="str">
        <x:v>https://raw.githubusercontent.com/ZYDTR/truthinsightbench-dwf-scoring/main/runs/Life_02_contextual_immune_response/workspace/output/Result.md</x:v>
      </x:c>
    </x:row>
    <x:row r="22" ht="52" customHeight="1">
      <x:c r="A22" s="14" t="n">
        <x:v>17</x:v>
      </x:c>
      <x:c r="B22" s="14" t="str">
        <x:v>生命04｜环境转移边界</x:v>
      </x:c>
      <x:c r="C22" s="36" t="n">
        <x:f>MAX('参数'!$B$11,MIN('参数'!$B$12,'参数'!$B$3*D22+'参数'!$B$4*E22+H22+K22-L22))</x:f>
        <x:v>68.2</x:v>
      </x:c>
      <x:c r="D22" s="36" t="n">
        <x:f>LARGE('去重'!E85:E88,1)</x:f>
        <x:v>66.5</x:v>
      </x:c>
      <x:c r="E22" s="36" t="n">
        <x:f>LARGE('去重'!E85:E88,2)</x:f>
        <x:v>66.5</x:v>
      </x:c>
      <x:c r="F22" s="14" t="str">
        <x:v>F2 / F3</x:v>
      </x:c>
      <x:c r="G22" s="14" t="n">
        <x:f>COUNTIF('去重'!E85:E88,"&gt;="&amp;'参数'!$B$2)</x:f>
        <x:v>4</x:v>
      </x:c>
      <x:c r="H22" s="36" t="n">
        <x:f>MIN('参数'!$B$7,IF(G22=0,0,'参数'!$B$8+'参数'!$B$9*(G22-1)))</x:f>
        <x:v>10</x:v>
      </x:c>
      <x:c r="I22" s="36" t="n">
        <x:f>'目标恢复'!C22</x:f>
        <x:v>0.5</x:v>
      </x:c>
      <x:c r="J22" s="36" t="n">
        <x:f>'目标恢复'!E22</x:f>
        <x:v>0.5</x:v>
      </x:c>
      <x:c r="K22" s="36" t="n">
        <x:f>(I22+J22)*'参数'!$B$5</x:f>
        <x:v>5</x:v>
      </x:c>
      <x:c r="L22" s="36" t="n">
        <x:f>MIN('参数'!$B$6,SUM('去重'!G85:G88)*'参数'!$B$10)</x:f>
        <x:v>0</x:v>
      </x:c>
      <x:c r="M22" s="36" t="n">
        <x:f>MAX('参数'!$B$11,MIN('参数'!$B$12,'参数'!$B$3*(D22+'参数'!$B$13)+'参数'!$B$4*(E22+'参数'!$B$13)+MIN('参数'!$B$7,IF(COUNTIF('去重'!E85:E88,"&gt;="&amp;('参数'!$B$2-'参数'!$B$13))=0,0,'参数'!$B$8+'参数'!$B$9*(COUNTIF('去重'!E85:E88,"&gt;="&amp;('参数'!$B$2-'参数'!$B$13))-1)))+K22-L22))</x:f>
        <x:v>73</x:v>
      </x:c>
      <x:c r="N22" s="36" t="n">
        <x:f>MAX('参数'!$B$11,MIN('参数'!$B$12,'参数'!$B$3*LARGE('发现明细'!G85:G89,1)+'参数'!$B$4*LARGE('发现明细'!G85:G89,2)+MIN('参数'!$B$7,IF(COUNTIF('发现明细'!G85:G89,"&gt;="&amp;'参数'!$B$2)=0,0,'参数'!$B$8+'参数'!$B$9*(COUNTIF('发现明细'!G85:G89,"&gt;="&amp;'参数'!$B$2)-1)))+K22-L22))</x:f>
        <x:v>68.2</x:v>
      </x:c>
      <x:c r="O22" s="28" t="str">
        <x:v>阈值关联和单调/多重检验结论不同；以单位分组检验避免放大样本数。</x:v>
      </x:c>
      <x:c r="P22" s="28" t="str">
        <x:v>https://raw.githubusercontent.com/ZYDTR/truthinsightbench-dwf-scoring/main/runs/Life_04_environmental_transfer_boundary/workspace/output/Result.md</x:v>
      </x:c>
    </x:row>
    <x:row r="23" ht="52" customHeight="1">
      <x:c r="A23" s="14" t="n">
        <x:v>18</x:v>
      </x:c>
      <x:c r="B23" s="14" t="str">
        <x:v>生命05｜发育交互结构</x:v>
      </x:c>
      <x:c r="C23" s="36" t="n">
        <x:f>MAX('参数'!$B$11,MIN('参数'!$B$12,'参数'!$B$3*D23+'参数'!$B$4*E23+H23+K23-L23))</x:f>
        <x:v>69.80000000000001</x:v>
      </x:c>
      <x:c r="D23" s="36" t="n">
        <x:f>LARGE('去重'!E89:E93,1)</x:f>
        <x:v>68.5</x:v>
      </x:c>
      <x:c r="E23" s="36" t="n">
        <x:f>LARGE('去重'!E89:E93,2)</x:f>
        <x:v>68.5</x:v>
      </x:c>
      <x:c r="F23" s="14" t="str">
        <x:v>F1 / F4</x:v>
      </x:c>
      <x:c r="G23" s="14" t="n">
        <x:f>COUNTIF('去重'!E89:E93,"&gt;="&amp;'参数'!$B$2)</x:f>
        <x:v>5</x:v>
      </x:c>
      <x:c r="H23" s="36" t="n">
        <x:f>MIN('参数'!$B$7,IF(G23=0,0,'参数'!$B$8+'参数'!$B$9*(G23-1)))</x:f>
        <x:v>10</x:v>
      </x:c>
      <x:c r="I23" s="36" t="n">
        <x:f>'目标恢复'!C23</x:f>
        <x:v>0.5</x:v>
      </x:c>
      <x:c r="J23" s="36" t="n">
        <x:f>'目标恢复'!E23</x:f>
        <x:v>0.5</x:v>
      </x:c>
      <x:c r="K23" s="36" t="n">
        <x:f>(I23+J23)*'参数'!$B$5</x:f>
        <x:v>5</x:v>
      </x:c>
      <x:c r="L23" s="36" t="n">
        <x:f>MIN('参数'!$B$6,SUM('去重'!G89:G93)*'参数'!$B$10)</x:f>
        <x:v>0</x:v>
      </x:c>
      <x:c r="M23" s="36" t="n">
        <x:f>MAX('参数'!$B$11,MIN('参数'!$B$12,'参数'!$B$3*(D23+'参数'!$B$13)+'参数'!$B$4*(E23+'参数'!$B$13)+MIN('参数'!$B$7,IF(COUNTIF('去重'!E89:E93,"&gt;="&amp;('参数'!$B$2-'参数'!$B$13))=0,0,'参数'!$B$8+'参数'!$B$9*(COUNTIF('去重'!E89:E93,"&gt;="&amp;('参数'!$B$2-'参数'!$B$13))-1)))+K23-L23))</x:f>
        <x:v>74.6</x:v>
      </x:c>
      <x:c r="N23" s="36" t="n">
        <x:f>MAX('参数'!$B$11,MIN('参数'!$B$12,'参数'!$B$3*LARGE('发现明细'!G90:G94,1)+'参数'!$B$4*LARGE('发现明细'!G90:G94,2)+MIN('参数'!$B$7,IF(COUNTIF('发现明细'!G90:G94,"&gt;="&amp;'参数'!$B$2)=0,0,'参数'!$B$8+'参数'!$B$9*(COUNTIF('发现明细'!G90:G94,"&gt;="&amp;'参数'!$B$2)-1)))+K23-L23))</x:f>
        <x:v>69.80000000000001</x:v>
      </x:c>
      <x:c r="O23" s="28" t="str">
        <x:v>家族聚类与214家族留出有支持；使用单位均值的条件预测不是冷启动预测，均衡子集变弱已报告。</x:v>
      </x:c>
      <x:c r="P23" s="28" t="str">
        <x:v>https://raw.githubusercontent.com/ZYDTR/truthinsightbench-dwf-scoring/main/runs/Life_05_developmental_interaction_structure/workspace/output/Result.md</x:v>
      </x:c>
    </x:row>
    <x:row r="24" ht="52" customHeight="1">
      <x:c r="A24" s="14" t="n">
        <x:v>19</x:v>
      </x:c>
      <x:c r="B24" s="14" t="str">
        <x:v>数学02｜组成不变量</x:v>
      </x:c>
      <x:c r="C24" s="36" t="n">
        <x:f>MAX('参数'!$B$11,MIN('参数'!$B$12,'参数'!$B$3*D24+'参数'!$B$4*E24+H24+K24-L24))</x:f>
        <x:v>69.80000000000001</x:v>
      </x:c>
      <x:c r="D24" s="36" t="n">
        <x:f>LARGE('去重'!E94:E98,1)</x:f>
        <x:v>68.5</x:v>
      </x:c>
      <x:c r="E24" s="36" t="n">
        <x:f>LARGE('去重'!E94:E98,2)</x:f>
        <x:v>68.5</x:v>
      </x:c>
      <x:c r="F24" s="14" t="str">
        <x:v>F1 / F2</x:v>
      </x:c>
      <x:c r="G24" s="14" t="n">
        <x:f>COUNTIF('去重'!E94:E98,"&gt;="&amp;'参数'!$B$2)</x:f>
        <x:v>5</x:v>
      </x:c>
      <x:c r="H24" s="36" t="n">
        <x:f>MIN('参数'!$B$7,IF(G24=0,0,'参数'!$B$8+'参数'!$B$9*(G24-1)))</x:f>
        <x:v>10</x:v>
      </x:c>
      <x:c r="I24" s="36" t="n">
        <x:f>'目标恢复'!C24</x:f>
        <x:v>0.5</x:v>
      </x:c>
      <x:c r="J24" s="36" t="n">
        <x:f>'目标恢复'!E24</x:f>
        <x:v>0.5</x:v>
      </x:c>
      <x:c r="K24" s="36" t="n">
        <x:f>(I24+J24)*'参数'!$B$5</x:f>
        <x:v>5</x:v>
      </x:c>
      <x:c r="L24" s="36" t="n">
        <x:f>MIN('参数'!$B$6,SUM('去重'!G94:G98)*'参数'!$B$10)</x:f>
        <x:v>0</x:v>
      </x:c>
      <x:c r="M24" s="36" t="n">
        <x:f>MAX('参数'!$B$11,MIN('参数'!$B$12,'参数'!$B$3*(D24+'参数'!$B$13)+'参数'!$B$4*(E24+'参数'!$B$13)+MIN('参数'!$B$7,IF(COUNTIF('去重'!E94:E98,"&gt;="&amp;('参数'!$B$2-'参数'!$B$13))=0,0,'参数'!$B$8+'参数'!$B$9*(COUNTIF('去重'!E94:E98,"&gt;="&amp;('参数'!$B$2-'参数'!$B$13))-1)))+K24-L24))</x:f>
        <x:v>74.6</x:v>
      </x:c>
      <x:c r="N24" s="36" t="n">
        <x:f>MAX('参数'!$B$11,MIN('参数'!$B$12,'参数'!$B$3*LARGE('发现明细'!G95:G99,1)+'参数'!$B$4*LARGE('发现明细'!G95:G99,2)+MIN('参数'!$B$7,IF(COUNTIF('发现明细'!G95:G99,"&gt;="&amp;'参数'!$B$2)=0,0,'参数'!$B$8+'参数'!$B$9*(COUNTIF('发现明细'!G95:G99,"&gt;="&amp;'参数'!$B$2)-1)))+K24-L24))</x:f>
        <x:v>69.80000000000001</x:v>
      </x:c>
      <x:c r="O24" s="28" t="str">
        <x:v>CLR、伪计数及PCA结果排除特定低维线性解释；不据此否定所有非线性不变量。</x:v>
      </x:c>
      <x:c r="P24" s="28" t="str">
        <x:v>https://raw.githubusercontent.com/ZYDTR/truthinsightbench-dwf-scoring/main/runs/Math_02_compositional_invariants/workspace/output/Result.md</x:v>
      </x:c>
    </x:row>
    <x:row r="25" ht="52" customHeight="1">
      <x:c r="A25" s="14" t="n">
        <x:v>20</x:v>
      </x:c>
      <x:c r="B25" s="14" t="str">
        <x:v>神经02｜钙响应区域</x:v>
      </x:c>
      <x:c r="C25" s="36" t="n">
        <x:f>MAX('参数'!$B$11,MIN('参数'!$B$12,'参数'!$B$3*D25+'参数'!$B$4*E25+H25+K25-L25))</x:f>
        <x:v>65.7</x:v>
      </x:c>
      <x:c r="D25" s="36" t="n">
        <x:f>LARGE('去重'!E99:E102,1)</x:f>
        <x:v>63.5</x:v>
      </x:c>
      <x:c r="E25" s="36" t="n">
        <x:f>LARGE('去重'!E99:E102,2)</x:f>
        <x:v>63</x:v>
      </x:c>
      <x:c r="F25" s="14" t="str">
        <x:v>F3 / F2</x:v>
      </x:c>
      <x:c r="G25" s="14" t="n">
        <x:f>COUNTIF('去重'!E99:E102,"&gt;="&amp;'参数'!$B$2)</x:f>
        <x:v>4</x:v>
      </x:c>
      <x:c r="H25" s="36" t="n">
        <x:f>MIN('参数'!$B$7,IF(G25=0,0,'参数'!$B$8+'参数'!$B$9*(G25-1)))</x:f>
        <x:v>10</x:v>
      </x:c>
      <x:c r="I25" s="36" t="n">
        <x:f>'目标恢复'!C25</x:f>
        <x:v>0.5</x:v>
      </x:c>
      <x:c r="J25" s="36" t="n">
        <x:f>'目标恢复'!E25</x:f>
        <x:v>0.5</x:v>
      </x:c>
      <x:c r="K25" s="36" t="n">
        <x:f>(I25+J25)*'参数'!$B$5</x:f>
        <x:v>5</x:v>
      </x:c>
      <x:c r="L25" s="36" t="n">
        <x:f>MIN('参数'!$B$6,SUM('去重'!G99:G102)*'参数'!$B$10)</x:f>
        <x:v>0</x:v>
      </x:c>
      <x:c r="M25" s="36" t="n">
        <x:f>MAX('参数'!$B$11,MIN('参数'!$B$12,'参数'!$B$3*(D25+'参数'!$B$13)+'参数'!$B$4*(E25+'参数'!$B$13)+MIN('参数'!$B$7,IF(COUNTIF('去重'!E99:E102,"&gt;="&amp;('参数'!$B$2-'参数'!$B$13))=0,0,'参数'!$B$8+'参数'!$B$9*(COUNTIF('去重'!E99:E102,"&gt;="&amp;('参数'!$B$2-'参数'!$B$13))-1)))+K25-L25))</x:f>
        <x:v>70.5</x:v>
      </x:c>
      <x:c r="N25" s="36" t="n">
        <x:f>MAX('参数'!$B$11,MIN('参数'!$B$12,'参数'!$B$3*LARGE('发现明细'!G100:G103,1)+'参数'!$B$4*LARGE('发现明细'!G100:G103,2)+MIN('参数'!$B$7,IF(COUNTIF('发现明细'!G100:G103,"&gt;="&amp;'参数'!$B$2)=0,0,'参数'!$B$8+'参数'!$B$9*(COUNTIF('发现明细'!G100:G103,"&gt;="&amp;'参数'!$B$2)-1)))+K25-L25))</x:f>
        <x:v>65.7</x:v>
      </x:c>
      <x:c r="O25" s="28" t="str">
        <x:v>年龄与batch一一对应，设计矩阵秩缺失及VIF支持不可识别性；个别显著批次数量表述不准确。</x:v>
      </x:c>
      <x:c r="P25" s="28" t="str">
        <x:v>https://raw.githubusercontent.com/ZYDTR/truthinsightbench-dwf-scoring/main/runs/Neuro_02_calcium_response_regions/workspace/output/Result.md</x:v>
      </x:c>
    </x:row>
    <x:row r="26" ht="52" customHeight="1">
      <x:c r="A26" s="14" t="n">
        <x:v>21</x:v>
      </x:c>
      <x:c r="B26" s="14" t="str">
        <x:v>神经03｜空间编码稳定性</x:v>
      </x:c>
      <x:c r="C26" s="36" t="n">
        <x:f>MAX('参数'!$B$11,MIN('参数'!$B$12,'参数'!$B$3*D26+'参数'!$B$4*E26+H26+K26-L26))</x:f>
        <x:v>68.2</x:v>
      </x:c>
      <x:c r="D26" s="36" t="n">
        <x:f>LARGE('去重'!E103:E106,1)</x:f>
        <x:v>66.5</x:v>
      </x:c>
      <x:c r="E26" s="36" t="n">
        <x:f>LARGE('去重'!E103:E106,2)</x:f>
        <x:v>66.5</x:v>
      </x:c>
      <x:c r="F26" s="14" t="str">
        <x:v>F1 / F2</x:v>
      </x:c>
      <x:c r="G26" s="14" t="n">
        <x:f>COUNTIF('去重'!E103:E106,"&gt;="&amp;'参数'!$B$2)</x:f>
        <x:v>4</x:v>
      </x:c>
      <x:c r="H26" s="36" t="n">
        <x:f>MIN('参数'!$B$7,IF(G26=0,0,'参数'!$B$8+'参数'!$B$9*(G26-1)))</x:f>
        <x:v>10</x:v>
      </x:c>
      <x:c r="I26" s="36" t="n">
        <x:f>'目标恢复'!C26</x:f>
        <x:v>0.5</x:v>
      </x:c>
      <x:c r="J26" s="36" t="n">
        <x:f>'目标恢复'!E26</x:f>
        <x:v>0.5</x:v>
      </x:c>
      <x:c r="K26" s="36" t="n">
        <x:f>(I26+J26)*'参数'!$B$5</x:f>
        <x:v>5</x:v>
      </x:c>
      <x:c r="L26" s="36" t="n">
        <x:f>MIN('参数'!$B$6,SUM('去重'!G103:G106)*'参数'!$B$10)</x:f>
        <x:v>0</x:v>
      </x:c>
      <x:c r="M26" s="36" t="n">
        <x:f>MAX('参数'!$B$11,MIN('参数'!$B$12,'参数'!$B$3*(D26+'参数'!$B$13)+'参数'!$B$4*(E26+'参数'!$B$13)+MIN('参数'!$B$7,IF(COUNTIF('去重'!E103:E106,"&gt;="&amp;('参数'!$B$2-'参数'!$B$13))=0,0,'参数'!$B$8+'参数'!$B$9*(COUNTIF('去重'!E103:E106,"&gt;="&amp;('参数'!$B$2-'参数'!$B$13))-1)))+K26-L26))</x:f>
        <x:v>73</x:v>
      </x:c>
      <x:c r="N26" s="36" t="n">
        <x:f>MAX('参数'!$B$11,MIN('参数'!$B$12,'参数'!$B$3*LARGE('发现明细'!G104:G107,1)+'参数'!$B$4*LARGE('发现明细'!G104:G107,2)+MIN('参数'!$B$7,IF(COUNTIF('发现明细'!G104:G107,"&gt;="&amp;'参数'!$B$2)=0,0,'参数'!$B$8+'参数'!$B$9*(COUNTIF('发现明细'!G104:G107,"&gt;="&amp;'参数'!$B$2)-1)))+K26-L26))</x:f>
        <x:v>68.2</x:v>
      </x:c>
      <x:c r="O26" s="28" t="str">
        <x:v>区分单元与动物平均，动物级汇总仍偏负；只有3个对照稳定性动物，范围必须受限。</x:v>
      </x:c>
      <x:c r="P26" s="28" t="str">
        <x:v>https://raw.githubusercontent.com/ZYDTR/truthinsightbench-dwf-scoring/main/runs/Neuro_03_spatial_code_stability/workspace/output/Result.md</x:v>
      </x:c>
    </x:row>
    <x:row r="27" ht="52" customHeight="1">
      <x:c r="A27" s="14" t="n">
        <x:v>22</x:v>
      </x:c>
      <x:c r="B27" s="14" t="str">
        <x:v>神经04｜时间几何</x:v>
      </x:c>
      <x:c r="C27" s="36" t="n">
        <x:f>MAX('参数'!$B$11,MIN('参数'!$B$12,'参数'!$B$3*D27+'参数'!$B$4*E27+H27+K27-L27))</x:f>
        <x:v>67.1</x:v>
      </x:c>
      <x:c r="D27" s="36" t="n">
        <x:f>LARGE('去重'!E107:E111,1)</x:f>
        <x:v>66.5</x:v>
      </x:c>
      <x:c r="E27" s="36" t="n">
        <x:f>LARGE('去重'!E107:E111,2)</x:f>
        <x:v>61</x:v>
      </x:c>
      <x:c r="F27" s="14" t="str">
        <x:v>F1 / F2</x:v>
      </x:c>
      <x:c r="G27" s="14" t="n">
        <x:f>COUNTIF('去重'!E107:E111,"&gt;="&amp;'参数'!$B$2)</x:f>
        <x:v>5</x:v>
      </x:c>
      <x:c r="H27" s="36" t="n">
        <x:f>MIN('参数'!$B$7,IF(G27=0,0,'参数'!$B$8+'参数'!$B$9*(G27-1)))</x:f>
        <x:v>10</x:v>
      </x:c>
      <x:c r="I27" s="36" t="n">
        <x:f>'目标恢复'!C27</x:f>
        <x:v>0.5</x:v>
      </x:c>
      <x:c r="J27" s="36" t="n">
        <x:f>'目标恢复'!E27</x:f>
        <x:v>0.5</x:v>
      </x:c>
      <x:c r="K27" s="36" t="n">
        <x:f>(I27+J27)*'参数'!$B$5</x:f>
        <x:v>5</x:v>
      </x:c>
      <x:c r="L27" s="36" t="n">
        <x:f>MIN('参数'!$B$6,SUM('去重'!G107:G111)*'参数'!$B$10)</x:f>
        <x:v>0</x:v>
      </x:c>
      <x:c r="M27" s="36" t="n">
        <x:f>MAX('参数'!$B$11,MIN('参数'!$B$12,'参数'!$B$3*(D27+'参数'!$B$13)+'参数'!$B$4*(E27+'参数'!$B$13)+MIN('参数'!$B$7,IF(COUNTIF('去重'!E107:E111,"&gt;="&amp;('参数'!$B$2-'参数'!$B$13))=0,0,'参数'!$B$8+'参数'!$B$9*(COUNTIF('去重'!E107:E111,"&gt;="&amp;('参数'!$B$2-'参数'!$B$13))-1)))+K27-L27))</x:f>
        <x:v>71.9</x:v>
      </x:c>
      <x:c r="N27" s="36" t="n">
        <x:f>MAX('参数'!$B$11,MIN('参数'!$B$12,'参数'!$B$3*LARGE('发现明细'!G108:G112,1)+'参数'!$B$4*LARGE('发现明细'!G108:G112,2)+MIN('参数'!$B$7,IF(COUNTIF('发现明细'!G108:G112,"&gt;="&amp;'参数'!$B$2)=0,0,'参数'!$B$8+'参数'!$B$9*(COUNTIF('发现明细'!G108:G112,"&gt;="&amp;'参数'!$B$2)-1)))+K27-L27))</x:f>
        <x:v>67.1</x:v>
      </x:c>
      <x:c r="O27" s="28" t="str">
        <x:v>41个单位的Pearson、Spearman、置换、区间及删点一致；限定为未支持简单单调关系。</x:v>
      </x:c>
      <x:c r="P27" s="28" t="str">
        <x:v>https://raw.githubusercontent.com/ZYDTR/truthinsightbench-dwf-scoring/main/runs/Neuro_04_temporal_geometry/workspace/output/Result.md</x:v>
      </x:c>
    </x:row>
    <x:row r="28" ht="52" customHeight="1">
      <x:c r="A28" s="14" t="n">
        <x:v>23</x:v>
      </x:c>
      <x:c r="B28" s="14" t="str">
        <x:v>物理01｜核极化回波</x:v>
      </x:c>
      <x:c r="C28" s="36" t="n">
        <x:f>MAX('参数'!$B$11,MIN('参数'!$B$12,'参数'!$B$3*D28+'参数'!$B$4*E28+H28+K28-L28))</x:f>
        <x:v>47.599999999999994</x:v>
      </x:c>
      <x:c r="D28" s="36" t="n">
        <x:f>LARGE('去重'!E112:E114,1)</x:f>
        <x:v>53</x:v>
      </x:c>
      <x:c r="E28" s="36" t="n">
        <x:f>LARGE('去重'!E112:E114,2)</x:f>
        <x:v>49</x:v>
      </x:c>
      <x:c r="F28" s="14" t="str">
        <x:v>F1 / F2</x:v>
      </x:c>
      <x:c r="G28" s="14" t="n">
        <x:f>COUNTIF('去重'!E112:E114,"&gt;="&amp;'参数'!$B$2)</x:f>
        <x:v>2</x:v>
      </x:c>
      <x:c r="H28" s="36" t="n">
        <x:f>MIN('参数'!$B$7,IF(G28=0,0,'参数'!$B$8+'参数'!$B$9*(G28-1)))</x:f>
        <x:v>6</x:v>
      </x:c>
      <x:c r="I28" s="36" t="n">
        <x:f>'目标恢复'!C28</x:f>
        <x:v>0</x:v>
      </x:c>
      <x:c r="J28" s="36" t="n">
        <x:f>'目标恢复'!E28</x:f>
        <x:v>0</x:v>
      </x:c>
      <x:c r="K28" s="36" t="n">
        <x:f>(I28+J28)*'参数'!$B$5</x:f>
        <x:v>0</x:v>
      </x:c>
      <x:c r="L28" s="36" t="n">
        <x:f>MIN('参数'!$B$6,SUM('去重'!G112:G114)*'参数'!$B$10)</x:f>
        <x:v>0</x:v>
      </x:c>
      <x:c r="M28" s="36" t="n">
        <x:f>MAX('参数'!$B$11,MIN('参数'!$B$12,'参数'!$B$3*(D28+'参数'!$B$13)+'参数'!$B$4*(E28+'参数'!$B$13)+MIN('参数'!$B$7,IF(COUNTIF('去重'!E112:E114,"&gt;="&amp;('参数'!$B$2-'参数'!$B$13))=0,0,'参数'!$B$8+'参数'!$B$9*(COUNTIF('去重'!E112:E114,"&gt;="&amp;('参数'!$B$2-'参数'!$B$13))-1)))+K28-L28))</x:f>
        <x:v>54.4</x:v>
      </x:c>
      <x:c r="N28" s="36" t="n">
        <x:f>MAX('参数'!$B$11,MIN('参数'!$B$12,'参数'!$B$3*LARGE('发现明细'!G113:G115,1)+'参数'!$B$4*LARGE('发现明细'!G113:G115,2)+MIN('参数'!$B$7,IF(COUNTIF('发现明细'!G113:G115,"&gt;="&amp;'参数'!$B$2)=0,0,'参数'!$B$8+'参数'!$B$9*(COUNTIF('发现明细'!G113:G115,"&gt;="&amp;'参数'!$B$2)-1)))+K28-L28))</x:f>
        <x:v>47.599999999999994</x:v>
      </x:c>
      <x:c r="O28" s="28" t="str">
        <x:v>六个条件的包络幅度下降可描述；不等于定位每条轨迹中2*t_inv处的回波，也没有独立重复误差。</x:v>
      </x:c>
      <x:c r="P28" s="28" t="str">
        <x:v>https://raw.githubusercontent.com/ZYDTR/truthinsightbench-dwf-scoring/main/runs/Physics_01_dynamic_nuclear_polarization_echoes/workspace/output/Result.md</x:v>
      </x:c>
    </x:row>
    <x:row r="29" ht="52" customHeight="1">
      <x:c r="A29" s="14" t="n">
        <x:v>24</x:v>
      </x:c>
      <x:c r="B29" s="14" t="str">
        <x:v>物理02｜多轨道转变</x:v>
      </x:c>
      <x:c r="C29" s="36" t="n">
        <x:f>MAX('参数'!$B$11,MIN('参数'!$B$12,'参数'!$B$3*D29+'参数'!$B$4*E29+H29+K29-L29))</x:f>
        <x:v>54.4</x:v>
      </x:c>
      <x:c r="D29" s="36" t="n">
        <x:f>LARGE('去重'!E115:E119,1)</x:f>
        <x:v>56.5</x:v>
      </x:c>
      <x:c r="E29" s="36" t="n">
        <x:f>LARGE('去重'!E115:E119,2)</x:f>
        <x:v>52.5</x:v>
      </x:c>
      <x:c r="F29" s="14" t="str">
        <x:v>F4 / F1</x:v>
      </x:c>
      <x:c r="G29" s="14" t="n">
        <x:f>COUNTIF('去重'!E115:E119,"&gt;="&amp;'参数'!$B$2)</x:f>
        <x:v>4</x:v>
      </x:c>
      <x:c r="H29" s="36" t="n">
        <x:f>MIN('参数'!$B$7,IF(G29=0,0,'参数'!$B$8+'参数'!$B$9*(G29-1)))</x:f>
        <x:v>10</x:v>
      </x:c>
      <x:c r="I29" s="36" t="n">
        <x:f>'目标恢复'!C29</x:f>
        <x:v>0.5</x:v>
      </x:c>
      <x:c r="J29" s="36" t="n">
        <x:f>'目标恢复'!E29</x:f>
        <x:v>0.5</x:v>
      </x:c>
      <x:c r="K29" s="36" t="n">
        <x:f>(I29+J29)*'参数'!$B$5</x:f>
        <x:v>5</x:v>
      </x:c>
      <x:c r="L29" s="36" t="n">
        <x:f>MIN('参数'!$B$6,SUM('去重'!G115:G119)*'参数'!$B$10)</x:f>
        <x:v>5</x:v>
      </x:c>
      <x:c r="M29" s="36" t="n">
        <x:f>MAX('参数'!$B$11,MIN('参数'!$B$12,'参数'!$B$3*(D29+'参数'!$B$13)+'参数'!$B$4*(E29+'参数'!$B$13)+MIN('参数'!$B$7,IF(COUNTIF('去重'!E115:E119,"&gt;="&amp;('参数'!$B$2-'参数'!$B$13))=0,0,'参数'!$B$8+'参数'!$B$9*(COUNTIF('去重'!E115:E119,"&gt;="&amp;('参数'!$B$2-'参数'!$B$13))-1)))+K29-L29))</x:f>
        <x:v>59.2</x:v>
      </x:c>
      <x:c r="N29" s="36" t="n">
        <x:f>MAX('参数'!$B$11,MIN('参数'!$B$12,'参数'!$B$3*LARGE('发现明细'!G116:G120,1)+'参数'!$B$4*LARGE('发现明细'!G116:G120,2)+MIN('参数'!$B$7,IF(COUNTIF('发现明细'!G116:G120,"&gt;="&amp;'参数'!$B$2)=0,0,'参数'!$B$8+'参数'!$B$9*(COUNTIF('发现明细'!G116:G120,"&gt;="&amp;'参数'!$B$2)-1)))+K29-L29))</x:f>
        <x:v>54.4</x:v>
      </x:c>
      <x:c r="O29" s="28" t="str">
        <x:v>极少近零逆相关长度及负值伪影支持稳健性警告；没有形成独立相图验证。</x:v>
      </x:c>
      <x:c r="P29" s="28" t="str">
        <x:v>https://raw.githubusercontent.com/ZYDTR/truthinsightbench-dwf-scoring/main/runs/Physics_02_multiorbital_transition/workspace/output/Result.md</x:v>
      </x:c>
    </x:row>
    <x:row r="30" ht="52" customHeight="1">
      <x:c r="A30" s="14" t="n">
        <x:v>25</x:v>
      </x:c>
      <x:c r="B30" s="14" t="str">
        <x:v>物理03｜受控动力学预测</x:v>
      </x:c>
      <x:c r="C30" s="36" t="n">
        <x:f>MAX('参数'!$B$11,MIN('参数'!$B$12,'参数'!$B$3*D30+'参数'!$B$4*E30+H30+K30-L30))</x:f>
        <x:v>59.400000000000006</x:v>
      </x:c>
      <x:c r="D30" s="36" t="n">
        <x:f>LARGE('去重'!E120:E122,1)</x:f>
        <x:v>56</x:v>
      </x:c>
      <x:c r="E30" s="36" t="n">
        <x:f>LARGE('去重'!E120:E122,2)</x:f>
        <x:v>51.5</x:v>
      </x:c>
      <x:c r="F30" s="14" t="str">
        <x:v>F2 / F1</x:v>
      </x:c>
      <x:c r="G30" s="14" t="n">
        <x:f>COUNTIF('去重'!E120:E122,"&gt;="&amp;'参数'!$B$2)</x:f>
        <x:v>3</x:v>
      </x:c>
      <x:c r="H30" s="36" t="n">
        <x:f>MIN('参数'!$B$7,IF(G30=0,0,'参数'!$B$8+'参数'!$B$9*(G30-1)))</x:f>
        <x:v>8</x:v>
      </x:c>
      <x:c r="I30" s="36" t="n">
        <x:f>'目标恢复'!C30</x:f>
        <x:v>0.5</x:v>
      </x:c>
      <x:c r="J30" s="36" t="n">
        <x:f>'目标恢复'!E30</x:f>
        <x:v>1</x:v>
      </x:c>
      <x:c r="K30" s="36" t="n">
        <x:f>(I30+J30)*'参数'!$B$5</x:f>
        <x:v>7.5</x:v>
      </x:c>
      <x:c r="L30" s="36" t="n">
        <x:f>MIN('参数'!$B$6,SUM('去重'!G120:G122)*'参数'!$B$10)</x:f>
        <x:v>0</x:v>
      </x:c>
      <x:c r="M30" s="36" t="n">
        <x:f>MAX('参数'!$B$11,MIN('参数'!$B$12,'参数'!$B$3*(D30+'参数'!$B$13)+'参数'!$B$4*(E30+'参数'!$B$13)+MIN('参数'!$B$7,IF(COUNTIF('去重'!E120:E122,"&gt;="&amp;('参数'!$B$2-'参数'!$B$13))=0,0,'参数'!$B$8+'参数'!$B$9*(COUNTIF('去重'!E120:E122,"&gt;="&amp;('参数'!$B$2-'参数'!$B$13))-1)))+K30-L30))</x:f>
        <x:v>64.19999999999999</x:v>
      </x:c>
      <x:c r="N30" s="36" t="n">
        <x:f>MAX('参数'!$B$11,MIN('参数'!$B$12,'参数'!$B$3*LARGE('发现明细'!G121:G124,1)+'参数'!$B$4*LARGE('发现明细'!G121:G124,2)+MIN('参数'!$B$7,IF(COUNTIF('发现明细'!G121:G124,"&gt;="&amp;'参数'!$B$2)=0,0,'参数'!$B$8+'参数'!$B$9*(COUNTIF('发现明细'!G121:G124,"&gt;="&amp;'参数'!$B$2)-1)))+K30-L30))</x:f>
        <x:v>61.400000000000006</x:v>
      </x:c>
      <x:c r="O30" s="28" t="str">
        <x:v>三条相关约0.9595/0.8595/0.6687及归一化误差量化了局部差异；无独立重复或稳健外推。</x:v>
      </x:c>
      <x:c r="P30" s="28" t="str">
        <x:v>https://raw.githubusercontent.com/ZYDTR/truthinsightbench-dwf-scoring/main/runs/Physics_03_controlled_dynamics_forecast/workspace/output/Result.md</x:v>
      </x:c>
    </x:row>
    <x:row r="31" ht="52" customHeight="1">
      <x:c r="A31" s="14" t="n">
        <x:v>26</x:v>
      </x:c>
      <x:c r="B31" s="14" t="str">
        <x:v>物理04｜时间延迟转变</x:v>
      </x:c>
      <x:c r="C31" s="36" t="n">
        <x:f>MAX('参数'!$B$11,MIN('参数'!$B$12,'参数'!$B$3*D31+'参数'!$B$4*E31+H31+K31-L31))</x:f>
        <x:v>54.4</x:v>
      </x:c>
      <x:c r="D31" s="36" t="n">
        <x:f>LARGE('去重'!E123:E127,1)</x:f>
        <x:v>55.5</x:v>
      </x:c>
      <x:c r="E31" s="36" t="n">
        <x:f>LARGE('去重'!E123:E127,2)</x:f>
        <x:v>53</x:v>
      </x:c>
      <x:c r="F31" s="14" t="str">
        <x:v>F3 / F2</x:v>
      </x:c>
      <x:c r="G31" s="14" t="n">
        <x:f>COUNTIF('去重'!E123:E127,"&gt;="&amp;'参数'!$B$2)</x:f>
        <x:v>3</x:v>
      </x:c>
      <x:c r="H31" s="36" t="n">
        <x:f>MIN('参数'!$B$7,IF(G31=0,0,'参数'!$B$8+'参数'!$B$9*(G31-1)))</x:f>
        <x:v>8</x:v>
      </x:c>
      <x:c r="I31" s="36" t="n">
        <x:f>'目标恢复'!C31</x:f>
        <x:v>0</x:v>
      </x:c>
      <x:c r="J31" s="36" t="n">
        <x:f>'目标恢复'!E31</x:f>
        <x:v>0.5</x:v>
      </x:c>
      <x:c r="K31" s="36" t="n">
        <x:f>(I31+J31)*'参数'!$B$5</x:f>
        <x:v>2.5</x:v>
      </x:c>
      <x:c r="L31" s="36" t="n">
        <x:f>MIN('参数'!$B$6,SUM('去重'!G123:G127)*'参数'!$B$10)</x:f>
        <x:v>0</x:v>
      </x:c>
      <x:c r="M31" s="36" t="n">
        <x:f>MAX('参数'!$B$11,MIN('参数'!$B$12,'参数'!$B$3*(D31+'参数'!$B$13)+'参数'!$B$4*(E31+'参数'!$B$13)+MIN('参数'!$B$7,IF(COUNTIF('去重'!E123:E127,"&gt;="&amp;('参数'!$B$2-'参数'!$B$13))=0,0,'参数'!$B$8+'参数'!$B$9*(COUNTIF('去重'!E123:E127,"&gt;="&amp;('参数'!$B$2-'参数'!$B$13))-1)))+K31-L31))</x:f>
        <x:v>61.2</x:v>
      </x:c>
      <x:c r="N31" s="36" t="n">
        <x:f>MAX('参数'!$B$11,MIN('参数'!$B$12,'参数'!$B$3*LARGE('发现明细'!G125:G129,1)+'参数'!$B$4*LARGE('发现明细'!G125:G129,2)+MIN('参数'!$B$7,IF(COUNTIF('发现明细'!G125:G129,"&gt;="&amp;'参数'!$B$2)=0,0,'参数'!$B$8+'参数'!$B$9*(COUNTIF('发现明细'!G125:G129,"&gt;="&amp;'参数'!$B$2)-1)))+K31-L31))</x:f>
        <x:v>54.4</x:v>
      </x:c>
      <x:c r="O31" s="28" t="str">
        <x:v>F1的B/V列映射和F4的倍数错误降低发现分；除可见源码/表格直接定位的P2错误外，不把未充分重放的问题计入P。</x:v>
      </x:c>
      <x:c r="P31" s="28" t="str">
        <x:v>https://raw.githubusercontent.com/ZYDTR/truthinsightbench-dwf-scoring/main/runs/Physics_04_temporal_delay_transition/workspace/output/Result.md</x:v>
      </x:c>
    </x:row>
    <x:row r="32" ht="52" customHeight="1">
      <x:c r="A32" s="14" t="n">
        <x:v>27</x:v>
      </x:c>
      <x:c r="B32" s="14" t="str">
        <x:v>物理05｜变分线路模拟</x:v>
      </x:c>
      <x:c r="C32" s="36" t="n">
        <x:f>MAX('参数'!$B$11,MIN('参数'!$B$12,'参数'!$B$3*D32+'参数'!$B$4*E32+H32+K32-L32))</x:f>
        <x:v>67.5</x:v>
      </x:c>
      <x:c r="D32" s="36" t="n">
        <x:f>LARGE('去重'!E128:E130,1)</x:f>
        <x:v>62</x:v>
      </x:c>
      <x:c r="E32" s="36" t="n">
        <x:f>LARGE('去重'!E128:E130,2)</x:f>
        <x:v>61.5</x:v>
      </x:c>
      <x:c r="F32" s="14" t="str">
        <x:v>F3 / F1</x:v>
      </x:c>
      <x:c r="G32" s="14" t="n">
        <x:f>COUNTIF('去重'!E128:E130,"&gt;="&amp;'参数'!$B$2)</x:f>
        <x:v>3</x:v>
      </x:c>
      <x:c r="H32" s="36" t="n">
        <x:f>MIN('参数'!$B$7,IF(G32=0,0,'参数'!$B$8+'参数'!$B$9*(G32-1)))</x:f>
        <x:v>8</x:v>
      </x:c>
      <x:c r="I32" s="36" t="n">
        <x:f>'目标恢复'!C32</x:f>
        <x:v>1</x:v>
      </x:c>
      <x:c r="J32" s="36" t="n">
        <x:f>'目标恢复'!E32</x:f>
        <x:v>1</x:v>
      </x:c>
      <x:c r="K32" s="36" t="n">
        <x:f>(I32+J32)*'参数'!$B$5</x:f>
        <x:v>10</x:v>
      </x:c>
      <x:c r="L32" s="36" t="n">
        <x:f>MIN('参数'!$B$6,SUM('去重'!G128:G130)*'参数'!$B$10)</x:f>
        <x:v>0</x:v>
      </x:c>
      <x:c r="M32" s="36" t="n">
        <x:f>MAX('参数'!$B$11,MIN('参数'!$B$12,'参数'!$B$3*(D32+'参数'!$B$13)+'参数'!$B$4*(E32+'参数'!$B$13)+MIN('参数'!$B$7,IF(COUNTIF('去重'!E128:E130,"&gt;="&amp;('参数'!$B$2-'参数'!$B$13))=0,0,'参数'!$B$8+'参数'!$B$9*(COUNTIF('去重'!E128:E130,"&gt;="&amp;('参数'!$B$2-'参数'!$B$13))-1)))+K32-L32))</x:f>
        <x:v>72.3</x:v>
      </x:c>
      <x:c r="N32" s="36" t="n">
        <x:f>MAX('参数'!$B$11,MIN('参数'!$B$12,'参数'!$B$3*LARGE('发现明细'!G130:G133,1)+'参数'!$B$4*LARGE('发现明细'!G130:G133,2)+MIN('参数'!$B$7,IF(COUNTIF('发现明细'!G130:G133,"&gt;="&amp;'参数'!$B$2)=0,0,'参数'!$B$8+'参数'!$B$9*(COUNTIF('发现明细'!G130:G133,"&gt;="&amp;'参数'!$B$2)-1)))+K32-L32))</x:f>
        <x:v>69.5</x:v>
      </x:c>
      <x:c r="O32" s="28" t="str">
        <x:v>逐案例重算p1≥0.94、p2≥0.92、压缩≥0.95全部通过；阈值来自输入观测合同，不是参与者新做的分离验证。</x:v>
      </x:c>
      <x:c r="P32" s="28" t="str">
        <x:v>https://raw.githubusercontent.com/ZYDTR/truthinsightbench-dwf-scoring/main/runs/Physics_05_variational_circuit_simulation/workspace/output/Result.md</x:v>
      </x:c>
    </x:row>
  </x:sheetData>
  <x:mergeCells>
    <x:mergeCell ref="A1:P1"/>
    <x:mergeCell ref="A2:P2"/>
  </x:mergeCells>
  <x:conditionalFormatting sqref="C6:C32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{7F3A37CA-B292-653E-382C-40499A2B9981}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F3A37CA-B292-653E-382C-40499A2B9981}">
            <x14:dataBar gradient="1">
              <x14:cfvo type="min"/>
              <x14:cfvo type="max"/>
              <x14:fillColor rgb="FF0F766E"/>
            </x14:dataBar>
          </x14:cfRule>
          <xm:sqref>C6:C32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5" hidden="0" customWidth="1"/>
    <x:col min="3" max="3" width="12" hidden="0" customWidth="1"/>
    <x:col min="4" max="4" width="4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7" hidden="0" customWidth="1"/>
    <x:col min="25" max="25" width="7" hidden="0" customWidth="1"/>
    <x:col min="26" max="26" width="7" hidden="0" customWidth="1"/>
    <x:col min="27" max="27" width="7" hidden="0" customWidth="1"/>
    <x:col min="28" max="28" width="7" hidden="0" customWidth="1"/>
    <x:col min="29" max="29" width="7" hidden="0" customWidth="1"/>
    <x:col min="30" max="30" width="7" hidden="0" customWidth="1"/>
    <x:col min="31" max="31" width="7" hidden="0" customWidth="1"/>
    <x:col min="32" max="32" width="7" hidden="0" customWidth="1"/>
    <x:col min="33" max="33" width="7" hidden="0" customWidth="1"/>
    <x:col min="34" max="34" width="7" hidden="0" customWidth="1"/>
    <x:col min="35" max="35" width="7" hidden="0" customWidth="1"/>
    <x:col min="36" max="36" width="7" hidden="0" customWidth="1"/>
    <x:col min="37" max="37" width="7" hidden="0" customWidth="1"/>
    <x:col min="38" max="38" width="7" hidden="0" customWidth="1"/>
    <x:col min="39" max="39" width="7" hidden="0" customWidth="1"/>
    <x:col min="40" max="40" width="7" hidden="0" customWidth="1"/>
    <x:col min="41" max="41" width="7" hidden="0" customWidth="1"/>
    <x:col min="42" max="42" width="7" hidden="0" customWidth="1"/>
    <x:col min="43" max="43" width="58" hidden="0" customWidth="1"/>
    <x:col min="44" max="44" width="58" hidden="0" customWidth="1"/>
    <x:col min="45" max="45" width="20" hidden="0" customWidth="1"/>
  </x:cols>
  <x:sheetData>
    <x:row r="1" ht="32" customHeight="1">
      <x:c r="A1" s="17" t="str">
        <x:v>128条发现｜29项动作评分矩阵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  <x:c r="AA1" s="17"/>
      <x:c r="AB1" s="17"/>
      <x:c r="AC1" s="17"/>
      <x:c r="AD1" s="17"/>
      <x:c r="AE1" s="17"/>
      <x:c r="AF1" s="17"/>
      <x:c r="AG1" s="17"/>
      <x:c r="AH1" s="17"/>
      <x:c r="AI1" s="17"/>
      <x:c r="AJ1" s="17"/>
      <x:c r="AK1" s="17"/>
      <x:c r="AL1" s="17"/>
      <x:c r="AM1" s="17"/>
      <x:c r="AN1" s="17"/>
      <x:c r="AO1" s="17"/>
      <x:c r="AP1" s="17"/>
      <x:c r="AQ1" s="17"/>
      <x:c r="AR1" s="17"/>
      <x:c r="AS1" s="17"/>
    </x:row>
    <x:row r="2" ht="38" customHeight="1">
      <x:c r="A2" s="21" t="str">
        <x:v>蓝色单元格为人工等级输入；G:M为公式。0值有些表示未验证获得该分，详见评分尺和说明。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  <x:c r="AA2" s="21"/>
      <x:c r="AB2" s="21"/>
      <x:c r="AC2" s="21"/>
      <x:c r="AD2" s="21"/>
      <x:c r="AE2" s="21"/>
      <x:c r="AF2" s="21"/>
      <x:c r="AG2" s="21"/>
      <x:c r="AH2" s="21"/>
      <x:c r="AI2" s="21"/>
      <x:c r="AJ2" s="21"/>
      <x:c r="AK2" s="21"/>
      <x:c r="AL2" s="21"/>
      <x:c r="AM2" s="21"/>
      <x:c r="AN2" s="21"/>
      <x:c r="AO2" s="21"/>
      <x:c r="AP2" s="21"/>
      <x:c r="AQ2" s="21"/>
      <x:c r="AR2" s="21"/>
      <x:c r="AS2" s="21"/>
    </x:row>
    <x:row r="3" ht="28" customHeight="1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  <x:c r="AA3" s="14"/>
      <x:c r="AB3" s="14"/>
      <x:c r="AC3" s="14"/>
      <x:c r="AD3" s="14"/>
      <x:c r="AE3" s="14"/>
      <x:c r="AF3" s="14"/>
      <x:c r="AG3" s="14"/>
      <x:c r="AH3" s="14"/>
      <x:c r="AI3" s="14"/>
      <x:c r="AJ3" s="14"/>
      <x:c r="AK3" s="14"/>
      <x:c r="AL3" s="14"/>
      <x:c r="AM3" s="14"/>
      <x:c r="AN3" s="14"/>
      <x:c r="AO3" s="14"/>
      <x:c r="AP3" s="14"/>
      <x:c r="AQ3" s="14"/>
      <x:c r="AR3" s="14"/>
      <x:c r="AS3" s="14"/>
    </x:row>
    <x:row r="4" ht="28" customHeight="1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 t="str">
        <x:v>权重 →</x:v>
      </x:c>
      <x:c r="N4" s="32" t="n">
        <x:f>'评分尺'!C6</x:f>
        <x:v>4</x:v>
      </x:c>
      <x:c r="O4" s="32" t="n">
        <x:f>'评分尺'!C7</x:f>
        <x:v>4</x:v>
      </x:c>
      <x:c r="P4" s="32" t="n">
        <x:f>'评分尺'!C8</x:f>
        <x:v>6</x:v>
      </x:c>
      <x:c r="Q4" s="32" t="n">
        <x:f>'评分尺'!C9</x:f>
        <x:v>4</x:v>
      </x:c>
      <x:c r="R4" s="32" t="n">
        <x:f>'评分尺'!C10</x:f>
        <x:v>10</x:v>
      </x:c>
      <x:c r="S4" s="32" t="n">
        <x:f>'评分尺'!C11</x:f>
        <x:v>5</x:v>
      </x:c>
      <x:c r="T4" s="32" t="n">
        <x:f>'评分尺'!C12</x:f>
        <x:v>8</x:v>
      </x:c>
      <x:c r="U4" s="32" t="n">
        <x:f>'评分尺'!C13</x:f>
        <x:v>4</x:v>
      </x:c>
      <x:c r="V4" s="32" t="n">
        <x:f>'评分尺'!C14</x:f>
        <x:v>3</x:v>
      </x:c>
      <x:c r="W4" s="32" t="n">
        <x:f>'评分尺'!C15</x:f>
        <x:v>3</x:v>
      </x:c>
      <x:c r="X4" s="32" t="n">
        <x:f>'评分尺'!C16</x:f>
        <x:v>3</x:v>
      </x:c>
      <x:c r="Y4" s="32" t="n">
        <x:f>'评分尺'!C17</x:f>
        <x:v>3</x:v>
      </x:c>
      <x:c r="Z4" s="32" t="n">
        <x:f>'评分尺'!C18</x:f>
        <x:v>3</x:v>
      </x:c>
      <x:c r="AA4" s="32" t="n">
        <x:f>'评分尺'!C19</x:f>
        <x:v>3</x:v>
      </x:c>
      <x:c r="AB4" s="32" t="n">
        <x:f>'评分尺'!C20</x:f>
        <x:v>3</x:v>
      </x:c>
      <x:c r="AC4" s="32" t="n">
        <x:f>'评分尺'!C21</x:f>
        <x:v>4</x:v>
      </x:c>
      <x:c r="AD4" s="32" t="n">
        <x:f>'评分尺'!C22</x:f>
        <x:v>2</x:v>
      </x:c>
      <x:c r="AE4" s="32" t="n">
        <x:f>'评分尺'!C23</x:f>
        <x:v>3</x:v>
      </x:c>
      <x:c r="AF4" s="32" t="n">
        <x:f>'评分尺'!C24</x:f>
        <x:v>2</x:v>
      </x:c>
      <x:c r="AG4" s="32" t="n">
        <x:f>'评分尺'!C25</x:f>
        <x:v>3</x:v>
      </x:c>
      <x:c r="AH4" s="32" t="n">
        <x:f>'评分尺'!C26</x:f>
        <x:v>3</x:v>
      </x:c>
      <x:c r="AI4" s="32" t="n">
        <x:f>'评分尺'!C27</x:f>
        <x:v>2</x:v>
      </x:c>
      <x:c r="AJ4" s="32" t="n">
        <x:f>'评分尺'!C28</x:f>
        <x:v>4</x:v>
      </x:c>
      <x:c r="AK4" s="32" t="n">
        <x:f>'评分尺'!C29</x:f>
        <x:v>6</x:v>
      </x:c>
      <x:c r="AL4" s="32" t="n">
        <x:f>'评分尺'!C30</x:f>
        <x:v>1</x:v>
      </x:c>
      <x:c r="AM4" s="32" t="n">
        <x:f>'评分尺'!C31</x:f>
        <x:v>1</x:v>
      </x:c>
      <x:c r="AN4" s="32" t="n">
        <x:f>'评分尺'!C32</x:f>
        <x:v>1</x:v>
      </x:c>
      <x:c r="AO4" s="32" t="n">
        <x:f>'评分尺'!C33</x:f>
        <x:v>1</x:v>
      </x:c>
      <x:c r="AP4" s="32" t="n">
        <x:f>'评分尺'!C34</x:f>
        <x:v>1</x:v>
      </x:c>
      <x:c r="AQ4" s="14"/>
      <x:c r="AR4" s="14"/>
      <x:c r="AS4" s="14"/>
    </x:row>
    <x:row r="5" ht="30" customHeight="1">
      <x:c r="A5" s="5" t="str">
        <x:v>#</x:v>
      </x:c>
      <x:c r="B5" s="5" t="str">
        <x:v>任务ID</x:v>
      </x:c>
      <x:c r="C5" s="5" t="str">
        <x:v>发现ID</x:v>
      </x:c>
      <x:c r="D5" s="5" t="str">
        <x:v>发现标题</x:v>
      </x:c>
      <x:c r="E5" s="5" t="str">
        <x:v>去重组</x:v>
      </x:c>
      <x:c r="F5" s="5" t="str">
        <x:v>错误标记</x:v>
      </x:c>
      <x:c r="G5" s="5" t="str">
        <x:v>发现分</x:v>
      </x:c>
      <x:c r="H5" s="5" t="str">
        <x:v>证据 /45</x:v>
      </x:c>
      <x:c r="I5" s="5" t="str">
        <x:v>稳定性 /15</x:v>
      </x:c>
      <x:c r="J5" s="5" t="str">
        <x:v>替代解释 /15</x:v>
      </x:c>
      <x:c r="K5" s="5" t="str">
        <x:v>分离验证 /10</x:v>
      </x:c>
      <x:c r="L5" s="5" t="str">
        <x:v>来源新颖性 /10</x:v>
      </x:c>
      <x:c r="M5" s="5" t="str">
        <x:v>下一步 /5</x:v>
      </x:c>
      <x:c r="N5" s="5" t="str">
        <x:v>1.1</x:v>
      </x:c>
      <x:c r="O5" s="5" t="str">
        <x:v>1.2</x:v>
      </x:c>
      <x:c r="P5" s="5" t="str">
        <x:v>1.3</x:v>
      </x:c>
      <x:c r="Q5" s="5" t="str">
        <x:v>1.4</x:v>
      </x:c>
      <x:c r="R5" s="5" t="str">
        <x:v>1.5</x:v>
      </x:c>
      <x:c r="S5" s="5" t="str">
        <x:v>1.6</x:v>
      </x:c>
      <x:c r="T5" s="5" t="str">
        <x:v>1.7</x:v>
      </x:c>
      <x:c r="U5" s="5" t="str">
        <x:v>1.8</x:v>
      </x:c>
      <x:c r="V5" s="5" t="str">
        <x:v>2.1</x:v>
      </x:c>
      <x:c r="W5" s="5" t="str">
        <x:v>2.2</x:v>
      </x:c>
      <x:c r="X5" s="5" t="str">
        <x:v>2.3</x:v>
      </x:c>
      <x:c r="Y5" s="5" t="str">
        <x:v>2.4</x:v>
      </x:c>
      <x:c r="Z5" s="5" t="str">
        <x:v>2.5</x:v>
      </x:c>
      <x:c r="AA5" s="5" t="str">
        <x:v>3.1</x:v>
      </x:c>
      <x:c r="AB5" s="5" t="str">
        <x:v>3.2</x:v>
      </x:c>
      <x:c r="AC5" s="5" t="str">
        <x:v>3.3</x:v>
      </x:c>
      <x:c r="AD5" s="5" t="str">
        <x:v>3.4</x:v>
      </x:c>
      <x:c r="AE5" s="5" t="str">
        <x:v>3.5</x:v>
      </x:c>
      <x:c r="AF5" s="5" t="str">
        <x:v>4.1</x:v>
      </x:c>
      <x:c r="AG5" s="5" t="str">
        <x:v>4.2</x:v>
      </x:c>
      <x:c r="AH5" s="5" t="str">
        <x:v>4.3</x:v>
      </x:c>
      <x:c r="AI5" s="5" t="str">
        <x:v>4.4</x:v>
      </x:c>
      <x:c r="AJ5" s="5" t="str">
        <x:v>5.1</x:v>
      </x:c>
      <x:c r="AK5" s="5" t="str">
        <x:v>5.2</x:v>
      </x:c>
      <x:c r="AL5" s="5" t="str">
        <x:v>6.1</x:v>
      </x:c>
      <x:c r="AM5" s="5" t="str">
        <x:v>6.2</x:v>
      </x:c>
      <x:c r="AN5" s="5" t="str">
        <x:v>6.3</x:v>
      </x:c>
      <x:c r="AO5" s="5" t="str">
        <x:v>6.4</x:v>
      </x:c>
      <x:c r="AP5" s="5" t="str">
        <x:v>6.5</x:v>
      </x:c>
      <x:c r="AQ5" s="5" t="str">
        <x:v>评分依据</x:v>
      </x:c>
      <x:c r="AR5" s="5" t="str">
        <x:v>产物来源URL</x:v>
      </x:c>
      <x:c r="AS5" s="5" t="str">
        <x:v>新颖性状态</x:v>
      </x:c>
    </x:row>
    <x:row r="6" ht="65" customHeight="1">
      <x:c r="A6" s="14" t="n">
        <x:v>1</x:v>
      </x:c>
      <x:c r="B6" s="14" t="str">
        <x:v>Astronomy_01_radio_burst_drift</x:v>
      </x:c>
      <x:c r="C6" s="14" t="str">
        <x:v>F1</x:v>
      </x:c>
      <x:c r="D6" s="28" t="str">
        <x:v>像素重建不能恢复公布漂移</x:v>
      </x:c>
      <x:c r="E6" s="14" t="str">
        <x:v>G1</x:v>
      </x:c>
      <x:c r="F6" s="14" t="n">
        <x:v>0</x:v>
      </x:c>
      <x:c r="G6" s="36" t="n">
        <x:f>SUMPRODUCT(N6:AP6,$N$4:$AP$4)</x:f>
        <x:v>66.5</x:v>
      </x:c>
      <x:c r="H6" s="36" t="n">
        <x:f>SUMPRODUCT(N6:U6,$N$4:$U$4)</x:f>
        <x:v>32.5</x:v>
      </x:c>
      <x:c r="I6" s="36" t="n">
        <x:f>SUMPRODUCT(V6:Z6,$V$4:$Z$4)</x:f>
        <x:v>12</x:v>
      </x:c>
      <x:c r="J6" s="36" t="n">
        <x:f>SUMPRODUCT(AA6:AE6,$AA$4:$AE$4)</x:f>
        <x:v>13.5</x:v>
      </x:c>
      <x:c r="K6" s="36" t="n">
        <x:f>SUMPRODUCT(AF6:AI6,$AF$4:$AI$4)</x:f>
        <x:v>2</x:v>
      </x:c>
      <x:c r="L6" s="36" t="n">
        <x:f>SUMPRODUCT(AJ6:AK6,$AJ$4:$AK$4)</x:f>
        <x:v>4</x:v>
      </x:c>
      <x:c r="M6" s="36" t="n">
        <x:f>SUMPRODUCT(AL6:AP6,$AL$4:$AP$4)</x:f>
        <x:v>2.5</x:v>
      </x:c>
      <x:c r="N6" s="38" t="n">
        <x:v>0.5</x:v>
      </x:c>
      <x:c r="O6" s="38" t="n">
        <x:v>1</x:v>
      </x:c>
      <x:c r="P6" s="38" t="n">
        <x:v>0.5</x:v>
      </x:c>
      <x:c r="Q6" s="38" t="n">
        <x:v>1</x:v>
      </x:c>
      <x:c r="R6" s="38" t="n">
        <x:v>0.5</x:v>
      </x:c>
      <x:c r="S6" s="38" t="n">
        <x:v>0.5</x:v>
      </x:c>
      <x:c r="T6" s="38" t="n">
        <x:v>1</x:v>
      </x:c>
      <x:c r="U6" s="38" t="n">
        <x:v>1</x:v>
      </x:c>
      <x:c r="V6" s="38" t="n">
        <x:v>1</x:v>
      </x:c>
      <x:c r="W6" s="38" t="n">
        <x:v>0</x:v>
      </x:c>
      <x:c r="X6" s="38" t="n">
        <x:v>1</x:v>
      </x:c>
      <x:c r="Y6" s="38" t="n">
        <x:v>1</x:v>
      </x:c>
      <x:c r="Z6" s="38" t="n">
        <x:v>1</x:v>
      </x:c>
      <x:c r="AA6" s="38" t="n">
        <x:v>1</x:v>
      </x:c>
      <x:c r="AB6" s="38" t="n">
        <x:v>1</x:v>
      </x:c>
      <x:c r="AC6" s="38" t="n">
        <x:v>1</x:v>
      </x:c>
      <x:c r="AD6" s="38" t="n">
        <x:v>1</x:v>
      </x:c>
      <x:c r="AE6" s="38" t="n">
        <x:v>0.5</x:v>
      </x:c>
      <x:c r="AF6" s="38" t="n">
        <x:v>0.5</x:v>
      </x:c>
      <x:c r="AG6" s="38" t="n">
        <x:v>0</x:v>
      </x:c>
      <x:c r="AH6" s="38" t="n">
        <x:v>0</x:v>
      </x:c>
      <x:c r="AI6" s="38" t="n">
        <x:v>0.5</x:v>
      </x:c>
      <x:c r="AJ6" s="38" t="n">
        <x:v>1</x:v>
      </x:c>
      <x:c r="AK6" s="38" t="n">
        <x:v>0</x:v>
      </x:c>
      <x:c r="AL6" s="38" t="n">
        <x:v>1</x:v>
      </x:c>
      <x:c r="AM6" s="38" t="n">
        <x:v>0.5</x:v>
      </x:c>
      <x:c r="AN6" s="38" t="n">
        <x:v>1</x:v>
      </x:c>
      <x:c r="AO6" s="38" t="n">
        <x:v>0</x:v>
      </x:c>
      <x:c r="AP6" s="38" t="n">
        <x:v>0</x:v>
      </x:c>
      <x:c r="AQ6" s="28" t="str">
        <x:v>45个方法×事件组合无一达到10%误差；正对照、阈值与删事件分析有用，但同源重建不是独立观测。</x:v>
      </x:c>
      <x:c r="AR6" s="28" t="str">
        <x:v>https://raw.githubusercontent.com/ZYDTR/truthinsightbench-dwf-scoring/main/runs/Astronomy_01_radio_burst_drift/workspace/output/Result.md</x:v>
      </x:c>
      <x:c r="AS6" s="28" t="str">
        <x:v>待核验；暂不计入</x:v>
      </x:c>
    </x:row>
    <x:row r="7" ht="65" customHeight="1">
      <x:c r="A7" s="14" t="n">
        <x:v>2</x:v>
      </x:c>
      <x:c r="B7" s="14" t="str">
        <x:v>Astronomy_01_radio_burst_drift</x:v>
      </x:c>
      <x:c r="C7" s="14" t="str">
        <x:v>F2</x:v>
      </x:c>
      <x:c r="D7" s="28" t="str">
        <x:v>快慢分支受分箱与来源影响</x:v>
      </x:c>
      <x:c r="E7" s="14" t="str">
        <x:v>G2</x:v>
      </x:c>
      <x:c r="F7" s="14" t="n">
        <x:v>0</x:v>
      </x:c>
      <x:c r="G7" s="36" t="n">
        <x:f>SUMPRODUCT(N7:AP7,$N$4:$AP$4)</x:f>
        <x:v>61</x:v>
      </x:c>
      <x:c r="H7" s="36" t="n">
        <x:f>SUMPRODUCT(N7:U7,$N$4:$U$4)</x:f>
        <x:v>32.5</x:v>
      </x:c>
      <x:c r="I7" s="36" t="n">
        <x:f>SUMPRODUCT(V7:Z7,$V$4:$Z$4)</x:f>
        <x:v>10.5</x:v>
      </x:c>
      <x:c r="J7" s="36" t="n">
        <x:f>SUMPRODUCT(AA7:AE7,$AA$4:$AE$4)</x:f>
        <x:v>12</x:v>
      </x:c>
      <x:c r="K7" s="36" t="n">
        <x:f>SUMPRODUCT(AF7:AI7,$AF$4:$AI$4)</x:f>
        <x:v>0</x:v>
      </x:c>
      <x:c r="L7" s="36" t="n">
        <x:f>SUMPRODUCT(AJ7:AK7,$AJ$4:$AK$4)</x:f>
        <x:v>4</x:v>
      </x:c>
      <x:c r="M7" s="36" t="n">
        <x:f>SUMPRODUCT(AL7:AP7,$AL$4:$AP$4)</x:f>
        <x:v>2</x:v>
      </x:c>
      <x:c r="N7" s="38" t="n">
        <x:v>0.5</x:v>
      </x:c>
      <x:c r="O7" s="38" t="n">
        <x:v>1</x:v>
      </x:c>
      <x:c r="P7" s="38" t="n">
        <x:v>0.5</x:v>
      </x:c>
      <x:c r="Q7" s="38" t="n">
        <x:v>1</x:v>
      </x:c>
      <x:c r="R7" s="38" t="n">
        <x:v>0.5</x:v>
      </x:c>
      <x:c r="S7" s="38" t="n">
        <x:v>0.5</x:v>
      </x:c>
      <x:c r="T7" s="38" t="n">
        <x:v>1</x:v>
      </x:c>
      <x:c r="U7" s="38" t="n">
        <x:v>1</x:v>
      </x:c>
      <x:c r="V7" s="38" t="n">
        <x:v>0.5</x:v>
      </x:c>
      <x:c r="W7" s="38" t="n">
        <x:v>0</x:v>
      </x:c>
      <x:c r="X7" s="38" t="n">
        <x:v>1</x:v>
      </x:c>
      <x:c r="Y7" s="38" t="n">
        <x:v>1</x:v>
      </x:c>
      <x:c r="Z7" s="38" t="n">
        <x:v>1</x:v>
      </x:c>
      <x:c r="AA7" s="38" t="n">
        <x:v>1</x:v>
      </x:c>
      <x:c r="AB7" s="38" t="n">
        <x:v>0.5</x:v>
      </x:c>
      <x:c r="AC7" s="38" t="n">
        <x:v>1</x:v>
      </x:c>
      <x:c r="AD7" s="38" t="n">
        <x:v>1</x:v>
      </x:c>
      <x:c r="AE7" s="38" t="n">
        <x:v>0.5</x:v>
      </x:c>
      <x:c r="AF7" s="38" t="n">
        <x:v>0</x:v>
      </x:c>
      <x:c r="AG7" s="38" t="n">
        <x:v>0</x:v>
      </x:c>
      <x:c r="AH7" s="38" t="n">
        <x:v>0</x:v>
      </x:c>
      <x:c r="AI7" s="38" t="n">
        <x:v>0</x:v>
      </x:c>
      <x:c r="AJ7" s="38" t="n">
        <x:v>1</x:v>
      </x:c>
      <x:c r="AK7" s="38" t="n">
        <x:v>0</x:v>
      </x:c>
      <x:c r="AL7" s="38" t="n">
        <x:v>1</x:v>
      </x:c>
      <x:c r="AM7" s="38" t="n">
        <x:v>0.5</x:v>
      </x:c>
      <x:c r="AN7" s="38" t="n">
        <x:v>0.5</x:v>
      </x:c>
      <x:c r="AO7" s="38" t="n">
        <x:v>0</x:v>
      </x:c>
      <x:c r="AP7" s="38" t="n">
        <x:v>0</x:v>
      </x:c>
      <x:c r="AQ7" s="28" t="str">
        <x:v>分箱宽度相差约10倍，样本重叠削弱独立分支解释；自举失败及拟合退化已保留。</x:v>
      </x:c>
      <x:c r="AR7" s="28" t="str">
        <x:v>https://raw.githubusercontent.com/ZYDTR/truthinsightbench-dwf-scoring/main/runs/Astronomy_01_radio_burst_drift/workspace/output/Result.md</x:v>
      </x:c>
      <x:c r="AS7" s="28" t="str">
        <x:v>待核验；暂不计入</x:v>
      </x:c>
    </x:row>
    <x:row r="8" ht="65" customHeight="1">
      <x:c r="A8" s="14" t="n">
        <x:v>3</x:v>
      </x:c>
      <x:c r="B8" s="14" t="str">
        <x:v>Astronomy_01_radio_burst_drift</x:v>
      </x:c>
      <x:c r="C8" s="14" t="str">
        <x:v>F3</x:v>
      </x:c>
      <x:c r="D8" s="28" t="str">
        <x:v>规范化数据丢失来源信息</x:v>
      </x:c>
      <x:c r="E8" s="14" t="str">
        <x:v>G4</x:v>
      </x:c>
      <x:c r="F8" s="14" t="n">
        <x:v>0</x:v>
      </x:c>
      <x:c r="G8" s="36" t="n">
        <x:f>SUMPRODUCT(N8:AP8,$N$4:$AP$4)</x:f>
        <x:v>58.5</x:v>
      </x:c>
      <x:c r="H8" s="36" t="n">
        <x:f>SUMPRODUCT(N8:U8,$N$4:$U$4)</x:f>
        <x:v>32.5</x:v>
      </x:c>
      <x:c r="I8" s="36" t="n">
        <x:f>SUMPRODUCT(V8:Z8,$V$4:$Z$4)</x:f>
        <x:v>7.5</x:v>
      </x:c>
      <x:c r="J8" s="36" t="n">
        <x:f>SUMPRODUCT(AA8:AE8,$AA$4:$AE$4)</x:f>
        <x:v>12</x:v>
      </x:c>
      <x:c r="K8" s="36" t="n">
        <x:f>SUMPRODUCT(AF8:AI8,$AF$4:$AI$4)</x:f>
        <x:v>0</x:v>
      </x:c>
      <x:c r="L8" s="36" t="n">
        <x:f>SUMPRODUCT(AJ8:AK8,$AJ$4:$AK$4)</x:f>
        <x:v>4</x:v>
      </x:c>
      <x:c r="M8" s="36" t="n">
        <x:f>SUMPRODUCT(AL8:AP8,$AL$4:$AP$4)</x:f>
        <x:v>2.5</x:v>
      </x:c>
      <x:c r="N8" s="38" t="n">
        <x:v>0.5</x:v>
      </x:c>
      <x:c r="O8" s="38" t="n">
        <x:v>1</x:v>
      </x:c>
      <x:c r="P8" s="38" t="n">
        <x:v>0.5</x:v>
      </x:c>
      <x:c r="Q8" s="38" t="n">
        <x:v>1</x:v>
      </x:c>
      <x:c r="R8" s="38" t="n">
        <x:v>0.5</x:v>
      </x:c>
      <x:c r="S8" s="38" t="n">
        <x:v>0.5</x:v>
      </x:c>
      <x:c r="T8" s="38" t="n">
        <x:v>1</x:v>
      </x:c>
      <x:c r="U8" s="38" t="n">
        <x:v>1</x:v>
      </x:c>
      <x:c r="V8" s="38" t="n">
        <x:v>0</x:v>
      </x:c>
      <x:c r="W8" s="38" t="n">
        <x:v>0</x:v>
      </x:c>
      <x:c r="X8" s="38" t="n">
        <x:v>0.5</x:v>
      </x:c>
      <x:c r="Y8" s="38" t="n">
        <x:v>1</x:v>
      </x:c>
      <x:c r="Z8" s="38" t="n">
        <x:v>1</x:v>
      </x:c>
      <x:c r="AA8" s="38" t="n">
        <x:v>1</x:v>
      </x:c>
      <x:c r="AB8" s="38" t="n">
        <x:v>0.5</x:v>
      </x:c>
      <x:c r="AC8" s="38" t="n">
        <x:v>1</x:v>
      </x:c>
      <x:c r="AD8" s="38" t="n">
        <x:v>1</x:v>
      </x:c>
      <x:c r="AE8" s="38" t="n">
        <x:v>0.5</x:v>
      </x:c>
      <x:c r="AF8" s="38" t="n">
        <x:v>0</x:v>
      </x:c>
      <x:c r="AG8" s="38" t="n">
        <x:v>0</x:v>
      </x:c>
      <x:c r="AH8" s="38" t="n">
        <x:v>0</x:v>
      </x:c>
      <x:c r="AI8" s="38" t="n">
        <x:v>0</x:v>
      </x:c>
      <x:c r="AJ8" s="38" t="n">
        <x:v>1</x:v>
      </x:c>
      <x:c r="AK8" s="38" t="n">
        <x:v>0</x:v>
      </x:c>
      <x:c r="AL8" s="38" t="n">
        <x:v>0.5</x:v>
      </x:c>
      <x:c r="AM8" s="38" t="n">
        <x:v>0</x:v>
      </x:c>
      <x:c r="AN8" s="38" t="n">
        <x:v>1</x:v>
      </x:c>
      <x:c r="AO8" s="38" t="n">
        <x:v>1</x:v>
      </x:c>
      <x:c r="AP8" s="38" t="n">
        <x:v>0</x:v>
      </x:c>
      <x:c r="AQ8" s="28" t="str">
        <x:v>表格、聚合、图像及空块的来源盘点有意义；212/11240约1.886%，不是2.8%，辅助数量降档。</x:v>
      </x:c>
      <x:c r="AR8" s="28" t="str">
        <x:v>https://raw.githubusercontent.com/ZYDTR/truthinsightbench-dwf-scoring/main/runs/Astronomy_01_radio_burst_drift/workspace/output/Result.md</x:v>
      </x:c>
      <x:c r="AS8" s="28" t="str">
        <x:v>待核验；暂不计入</x:v>
      </x:c>
    </x:row>
    <x:row r="9" ht="65" customHeight="1">
      <x:c r="A9" s="14" t="n">
        <x:v>4</x:v>
      </x:c>
      <x:c r="B9" s="14" t="str">
        <x:v>Astronomy_01_radio_burst_drift</x:v>
      </x:c>
      <x:c r="C9" s="14" t="str">
        <x:v>F4</x:v>
      </x:c>
      <x:c r="D9" s="28" t="str">
        <x:v>偏振分布差异及检验</x:v>
      </x:c>
      <x:c r="E9" s="14" t="str">
        <x:v>G3</x:v>
      </x:c>
      <x:c r="F9" s="14" t="n">
        <x:v>0</x:v>
      </x:c>
      <x:c r="G9" s="36" t="n">
        <x:f>SUMPRODUCT(N9:AP9,$N$4:$AP$4)</x:f>
        <x:v>60.5</x:v>
      </x:c>
      <x:c r="H9" s="36" t="n">
        <x:f>SUMPRODUCT(N9:U9,$N$4:$U$4)</x:f>
        <x:v>29</x:v>
      </x:c>
      <x:c r="I9" s="36" t="n">
        <x:f>SUMPRODUCT(V9:Z9,$V$4:$Z$4)</x:f>
        <x:v>12</x:v>
      </x:c>
      <x:c r="J9" s="36" t="n">
        <x:f>SUMPRODUCT(AA9:AE9,$AA$4:$AE$4)</x:f>
        <x:v>13.5</x:v>
      </x:c>
      <x:c r="K9" s="36" t="n">
        <x:f>SUMPRODUCT(AF9:AI9,$AF$4:$AI$4)</x:f>
        <x:v>0</x:v>
      </x:c>
      <x:c r="L9" s="36" t="n">
        <x:f>SUMPRODUCT(AJ9:AK9,$AJ$4:$AK$4)</x:f>
        <x:v>4</x:v>
      </x:c>
      <x:c r="M9" s="36" t="n">
        <x:f>SUMPRODUCT(AL9:AP9,$AL$4:$AP$4)</x:f>
        <x:v>2</x:v>
      </x:c>
      <x:c r="N9" s="38" t="n">
        <x:v>0.5</x:v>
      </x:c>
      <x:c r="O9" s="38" t="n">
        <x:v>1</x:v>
      </x:c>
      <x:c r="P9" s="38" t="n">
        <x:v>0.5</x:v>
      </x:c>
      <x:c r="Q9" s="38" t="n">
        <x:v>1</x:v>
      </x:c>
      <x:c r="R9" s="38" t="n">
        <x:v>1</x:v>
      </x:c>
      <x:c r="S9" s="38" t="n">
        <x:v>0</x:v>
      </x:c>
      <x:c r="T9" s="38" t="n">
        <x:v>0.5</x:v>
      </x:c>
      <x:c r="U9" s="38" t="n">
        <x:v>0.5</x:v>
      </x:c>
      <x:c r="V9" s="38" t="n">
        <x:v>1</x:v>
      </x:c>
      <x:c r="W9" s="38" t="n">
        <x:v>0</x:v>
      </x:c>
      <x:c r="X9" s="38" t="n">
        <x:v>1</x:v>
      </x:c>
      <x:c r="Y9" s="38" t="n">
        <x:v>1</x:v>
      </x:c>
      <x:c r="Z9" s="38" t="n">
        <x:v>1</x:v>
      </x:c>
      <x:c r="AA9" s="38" t="n">
        <x:v>1</x:v>
      </x:c>
      <x:c r="AB9" s="38" t="n">
        <x:v>1</x:v>
      </x:c>
      <x:c r="AC9" s="38" t="n">
        <x:v>1</x:v>
      </x:c>
      <x:c r="AD9" s="38" t="n">
        <x:v>1</x:v>
      </x:c>
      <x:c r="AE9" s="38" t="n">
        <x:v>0.5</x:v>
      </x:c>
      <x:c r="AF9" s="38" t="n">
        <x:v>0</x:v>
      </x:c>
      <x:c r="AG9" s="38" t="n">
        <x:v>0</x:v>
      </x:c>
      <x:c r="AH9" s="38" t="n">
        <x:v>0</x:v>
      </x:c>
      <x:c r="AI9" s="38" t="n">
        <x:v>0</x:v>
      </x:c>
      <x:c r="AJ9" s="38" t="n">
        <x:v>1</x:v>
      </x:c>
      <x:c r="AK9" s="38" t="n">
        <x:v>0</x:v>
      </x:c>
      <x:c r="AL9" s="38" t="n">
        <x:v>1</x:v>
      </x:c>
      <x:c r="AM9" s="38" t="n">
        <x:v>0.5</x:v>
      </x:c>
      <x:c r="AN9" s="38" t="n">
        <x:v>0.5</x:v>
      </x:c>
      <x:c r="AO9" s="38" t="n">
        <x:v>0</x:v>
      </x:c>
      <x:c r="AP9" s="38" t="n">
        <x:v>0</x:v>
      </x:c>
      <x:c r="AQ9" s="28" t="str">
        <x:v>可见CSV支持分布差异，但把观测自举上界与置换零假设95%阈值混用；主差异方向保留，区间/数量解释不得满分。</x:v>
      </x:c>
      <x:c r="AR9" s="28" t="str">
        <x:v>https://raw.githubusercontent.com/ZYDTR/truthinsightbench-dwf-scoring/main/runs/Astronomy_01_radio_burst_drift/workspace/output/Result.md</x:v>
      </x:c>
      <x:c r="AS9" s="28" t="str">
        <x:v>待核验；暂不计入</x:v>
      </x:c>
    </x:row>
    <x:row r="10" ht="65" customHeight="1">
      <x:c r="A10" s="14" t="n">
        <x:v>5</x:v>
      </x:c>
      <x:c r="B10" s="14" t="str">
        <x:v>Astronomy_01_radio_burst_drift</x:v>
      </x:c>
      <x:c r="C10" s="14" t="str">
        <x:v>F5</x:v>
      </x:c>
      <x:c r="D10" s="28" t="str">
        <x:v>无法映射的图像限制复核</x:v>
      </x:c>
      <x:c r="E10" s="14" t="str">
        <x:v>G5</x:v>
      </x:c>
      <x:c r="F10" s="14" t="n">
        <x:v>0</x:v>
      </x:c>
      <x:c r="G10" s="36" t="n">
        <x:f>SUMPRODUCT(N10:AP10,$N$4:$AP$4)</x:f>
        <x:v>58.5</x:v>
      </x:c>
      <x:c r="H10" s="36" t="n">
        <x:f>SUMPRODUCT(N10:U10,$N$4:$U$4)</x:f>
        <x:v>32.5</x:v>
      </x:c>
      <x:c r="I10" s="36" t="n">
        <x:f>SUMPRODUCT(V10:Z10,$V$4:$Z$4)</x:f>
        <x:v>9</x:v>
      </x:c>
      <x:c r="J10" s="36" t="n">
        <x:f>SUMPRODUCT(AA10:AE10,$AA$4:$AE$4)</x:f>
        <x:v>10.5</x:v>
      </x:c>
      <x:c r="K10" s="36" t="n">
        <x:f>SUMPRODUCT(AF10:AI10,$AF$4:$AI$4)</x:f>
        <x:v>0</x:v>
      </x:c>
      <x:c r="L10" s="36" t="n">
        <x:f>SUMPRODUCT(AJ10:AK10,$AJ$4:$AK$4)</x:f>
        <x:v>4</x:v>
      </x:c>
      <x:c r="M10" s="36" t="n">
        <x:f>SUMPRODUCT(AL10:AP10,$AL$4:$AP$4)</x:f>
        <x:v>2.5</x:v>
      </x:c>
      <x:c r="N10" s="38" t="n">
        <x:v>0.5</x:v>
      </x:c>
      <x:c r="O10" s="38" t="n">
        <x:v>1</x:v>
      </x:c>
      <x:c r="P10" s="38" t="n">
        <x:v>0.5</x:v>
      </x:c>
      <x:c r="Q10" s="38" t="n">
        <x:v>1</x:v>
      </x:c>
      <x:c r="R10" s="38" t="n">
        <x:v>0.5</x:v>
      </x:c>
      <x:c r="S10" s="38" t="n">
        <x:v>0.5</x:v>
      </x:c>
      <x:c r="T10" s="38" t="n">
        <x:v>1</x:v>
      </x:c>
      <x:c r="U10" s="38" t="n">
        <x:v>1</x:v>
      </x:c>
      <x:c r="V10" s="38" t="n">
        <x:v>0.5</x:v>
      </x:c>
      <x:c r="W10" s="38" t="n">
        <x:v>0</x:v>
      </x:c>
      <x:c r="X10" s="38" t="n">
        <x:v>0.5</x:v>
      </x:c>
      <x:c r="Y10" s="38" t="n">
        <x:v>1</x:v>
      </x:c>
      <x:c r="Z10" s="38" t="n">
        <x:v>1</x:v>
      </x:c>
      <x:c r="AA10" s="38" t="n">
        <x:v>0.5</x:v>
      </x:c>
      <x:c r="AB10" s="38" t="n">
        <x:v>0.5</x:v>
      </x:c>
      <x:c r="AC10" s="38" t="n">
        <x:v>1</x:v>
      </x:c>
      <x:c r="AD10" s="38" t="n">
        <x:v>1</x:v>
      </x:c>
      <x:c r="AE10" s="38" t="n">
        <x:v>0.5</x:v>
      </x:c>
      <x:c r="AF10" s="38" t="n">
        <x:v>0</x:v>
      </x:c>
      <x:c r="AG10" s="38" t="n">
        <x:v>0</x:v>
      </x:c>
      <x:c r="AH10" s="38" t="n">
        <x:v>0</x:v>
      </x:c>
      <x:c r="AI10" s="38" t="n">
        <x:v>0</x:v>
      </x:c>
      <x:c r="AJ10" s="38" t="n">
        <x:v>1</x:v>
      </x:c>
      <x:c r="AK10" s="38" t="n">
        <x:v>0</x:v>
      </x:c>
      <x:c r="AL10" s="38" t="n">
        <x:v>0.5</x:v>
      </x:c>
      <x:c r="AM10" s="38" t="n">
        <x:v>0</x:v>
      </x:c>
      <x:c r="AN10" s="38" t="n">
        <x:v>1</x:v>
      </x:c>
      <x:c r="AO10" s="38" t="n">
        <x:v>1</x:v>
      </x:c>
      <x:c r="AP10" s="38" t="n">
        <x:v>0</x:v>
      </x:c>
      <x:c r="AQ10" s="28" t="str">
        <x:v>9幅未映射图像及仅5个事件限制结论；低相关不能替代来源身份核验。</x:v>
      </x:c>
      <x:c r="AR10" s="28" t="str">
        <x:v>https://raw.githubusercontent.com/ZYDTR/truthinsightbench-dwf-scoring/main/runs/Astronomy_01_radio_burst_drift/workspace/output/Result.md</x:v>
      </x:c>
      <x:c r="AS10" s="28" t="str">
        <x:v>待核验；暂不计入</x:v>
      </x:c>
    </x:row>
    <x:row r="11" ht="65" customHeight="1">
      <x:c r="A11" s="14" t="n">
        <x:v>6</x:v>
      </x:c>
      <x:c r="B11" s="14" t="str">
        <x:v>Astronomy_02_gravity_spectral_structure</x:v>
      </x:c>
      <x:c r="C11" s="14" t="str">
        <x:v>F1</x:v>
      </x:c>
      <x:c r="D11" s="28" t="str">
        <x:v>B&lt;C&lt;A的噪声幅度排序</x:v>
      </x:c>
      <x:c r="E11" s="14" t="str">
        <x:v>G4</x:v>
      </x:c>
      <x:c r="F11" s="14" t="n">
        <x:v>0</x:v>
      </x:c>
      <x:c r="G11" s="36" t="n">
        <x:f>SUMPRODUCT(N11:AP11,$N$4:$AP$4)</x:f>
        <x:v>65</x:v>
      </x:c>
      <x:c r="H11" s="36" t="n">
        <x:f>SUMPRODUCT(N11:U11,$N$4:$U$4)</x:f>
        <x:v>32.5</x:v>
      </x:c>
      <x:c r="I11" s="36" t="n">
        <x:f>SUMPRODUCT(V11:Z11,$V$4:$Z$4)</x:f>
        <x:v>12</x:v>
      </x:c>
      <x:c r="J11" s="36" t="n">
        <x:f>SUMPRODUCT(AA11:AE11,$AA$4:$AE$4)</x:f>
        <x:v>12</x:v>
      </x:c>
      <x:c r="K11" s="36" t="n">
        <x:f>SUMPRODUCT(AF11:AI11,$AF$4:$AI$4)</x:f>
        <x:v>2</x:v>
      </x:c>
      <x:c r="L11" s="36" t="n">
        <x:f>SUMPRODUCT(AJ11:AK11,$AJ$4:$AK$4)</x:f>
        <x:v>4</x:v>
      </x:c>
      <x:c r="M11" s="36" t="n">
        <x:f>SUMPRODUCT(AL11:AP11,$AL$4:$AP$4)</x:f>
        <x:v>2.5</x:v>
      </x:c>
      <x:c r="N11" s="38" t="n">
        <x:v>0.5</x:v>
      </x:c>
      <x:c r="O11" s="38" t="n">
        <x:v>1</x:v>
      </x:c>
      <x:c r="P11" s="38" t="n">
        <x:v>0.5</x:v>
      </x:c>
      <x:c r="Q11" s="38" t="n">
        <x:v>1</x:v>
      </x:c>
      <x:c r="R11" s="38" t="n">
        <x:v>0.5</x:v>
      </x:c>
      <x:c r="S11" s="38" t="n">
        <x:v>0.5</x:v>
      </x:c>
      <x:c r="T11" s="38" t="n">
        <x:v>1</x:v>
      </x:c>
      <x:c r="U11" s="38" t="n">
        <x:v>1</x:v>
      </x:c>
      <x:c r="V11" s="38" t="n">
        <x:v>1</x:v>
      </x:c>
      <x:c r="W11" s="38" t="n">
        <x:v>0</x:v>
      </x:c>
      <x:c r="X11" s="38" t="n">
        <x:v>1</x:v>
      </x:c>
      <x:c r="Y11" s="38" t="n">
        <x:v>1</x:v>
      </x:c>
      <x:c r="Z11" s="38" t="n">
        <x:v>1</x:v>
      </x:c>
      <x:c r="AA11" s="38" t="n">
        <x:v>1</x:v>
      </x:c>
      <x:c r="AB11" s="38" t="n">
        <x:v>0.5</x:v>
      </x:c>
      <x:c r="AC11" s="38" t="n">
        <x:v>1</x:v>
      </x:c>
      <x:c r="AD11" s="38" t="n">
        <x:v>1</x:v>
      </x:c>
      <x:c r="AE11" s="38" t="n">
        <x:v>0.5</x:v>
      </x:c>
      <x:c r="AF11" s="38" t="n">
        <x:v>0.5</x:v>
      </x:c>
      <x:c r="AG11" s="38" t="n">
        <x:v>0</x:v>
      </x:c>
      <x:c r="AH11" s="38" t="n">
        <x:v>0</x:v>
      </x:c>
      <x:c r="AI11" s="38" t="n">
        <x:v>0.5</x:v>
      </x:c>
      <x:c r="AJ11" s="38" t="n">
        <x:v>1</x:v>
      </x:c>
      <x:c r="AK11" s="38" t="n">
        <x:v>0</x:v>
      </x:c>
      <x:c r="AL11" s="38" t="n">
        <x:v>1</x:v>
      </x:c>
      <x:c r="AM11" s="38" t="n">
        <x:v>0.5</x:v>
      </x:c>
      <x:c r="AN11" s="38" t="n">
        <x:v>1</x:v>
      </x:c>
      <x:c r="AO11" s="38" t="n">
        <x:v>0</x:v>
      </x:c>
      <x:c r="AP11" s="38" t="n">
        <x:v>0</x:v>
      </x:c>
      <x:c r="AQ11" s="28" t="str">
        <x:v>22/22配对排序、区间与删频段结果一致；保留中位数比值与总体RMS比值的区别。</x:v>
      </x:c>
      <x:c r="AR11" s="28" t="str">
        <x:v>https://raw.githubusercontent.com/ZYDTR/truthinsightbench-dwf-scoring/main/runs/Astronomy_02_gravity_spectral_structure/workspace/output/Result.md</x:v>
      </x:c>
      <x:c r="AS11" s="28" t="str">
        <x:v>待核验；暂不计入</x:v>
      </x:c>
    </x:row>
    <x:row r="12" ht="65" customHeight="1">
      <x:c r="A12" s="14" t="n">
        <x:v>7</x:v>
      </x:c>
      <x:c r="B12" s="14" t="str">
        <x:v>Astronomy_02_gravity_spectral_structure</x:v>
      </x:c>
      <x:c r="C12" s="14" t="str">
        <x:v>F2</x:v>
      </x:c>
      <x:c r="D12" s="28" t="str">
        <x:v>固定谱网格与模型选择优势</x:v>
      </x:c>
      <x:c r="E12" s="14" t="str">
        <x:v>G2</x:v>
      </x:c>
      <x:c r="F12" s="14" t="n">
        <x:v>0</x:v>
      </x:c>
      <x:c r="G12" s="36" t="n">
        <x:f>SUMPRODUCT(N12:AP12,$N$4:$AP$4)</x:f>
        <x:v>66</x:v>
      </x:c>
      <x:c r="H12" s="36" t="n">
        <x:f>SUMPRODUCT(N12:U12,$N$4:$U$4)</x:f>
        <x:v>35</x:v>
      </x:c>
      <x:c r="I12" s="36" t="n">
        <x:f>SUMPRODUCT(V12:Z12,$V$4:$Z$4)</x:f>
        <x:v>10.5</x:v>
      </x:c>
      <x:c r="J12" s="36" t="n">
        <x:f>SUMPRODUCT(AA12:AE12,$AA$4:$AE$4)</x:f>
        <x:v>13.5</x:v>
      </x:c>
      <x:c r="K12" s="36" t="n">
        <x:f>SUMPRODUCT(AF12:AI12,$AF$4:$AI$4)</x:f>
        <x:v>0</x:v>
      </x:c>
      <x:c r="L12" s="36" t="n">
        <x:f>SUMPRODUCT(AJ12:AK12,$AJ$4:$AK$4)</x:f>
        <x:v>4</x:v>
      </x:c>
      <x:c r="M12" s="36" t="n">
        <x:f>SUMPRODUCT(AL12:AP12,$AL$4:$AP$4)</x:f>
        <x:v>3</x:v>
      </x:c>
      <x:c r="N12" s="38" t="n">
        <x:v>0.5</x:v>
      </x:c>
      <x:c r="O12" s="38" t="n">
        <x:v>1</x:v>
      </x:c>
      <x:c r="P12" s="38" t="n">
        <x:v>0.5</x:v>
      </x:c>
      <x:c r="Q12" s="38" t="n">
        <x:v>1</x:v>
      </x:c>
      <x:c r="R12" s="38" t="n">
        <x:v>0.5</x:v>
      </x:c>
      <x:c r="S12" s="38" t="n">
        <x:v>1</x:v>
      </x:c>
      <x:c r="T12" s="38" t="n">
        <x:v>1</x:v>
      </x:c>
      <x:c r="U12" s="38" t="n">
        <x:v>1</x:v>
      </x:c>
      <x:c r="V12" s="38" t="n">
        <x:v>0.5</x:v>
      </x:c>
      <x:c r="W12" s="38" t="n">
        <x:v>0</x:v>
      </x:c>
      <x:c r="X12" s="38" t="n">
        <x:v>1</x:v>
      </x:c>
      <x:c r="Y12" s="38" t="n">
        <x:v>1</x:v>
      </x:c>
      <x:c r="Z12" s="38" t="n">
        <x:v>1</x:v>
      </x:c>
      <x:c r="AA12" s="38" t="n">
        <x:v>1</x:v>
      </x:c>
      <x:c r="AB12" s="38" t="n">
        <x:v>1</x:v>
      </x:c>
      <x:c r="AC12" s="38" t="n">
        <x:v>1</x:v>
      </x:c>
      <x:c r="AD12" s="38" t="n">
        <x:v>1</x:v>
      </x:c>
      <x:c r="AE12" s="38" t="n">
        <x:v>0.5</x:v>
      </x:c>
      <x:c r="AF12" s="38" t="n">
        <x:v>0</x:v>
      </x:c>
      <x:c r="AG12" s="38" t="n">
        <x:v>0</x:v>
      </x:c>
      <x:c r="AH12" s="38" t="n">
        <x:v>0</x:v>
      </x:c>
      <x:c r="AI12" s="38" t="n">
        <x:v>0</x:v>
      </x:c>
      <x:c r="AJ12" s="38" t="n">
        <x:v>1</x:v>
      </x:c>
      <x:c r="AK12" s="38" t="n">
        <x:v>0</x:v>
      </x:c>
      <x:c r="AL12" s="38" t="n">
        <x:v>0.5</x:v>
      </x:c>
      <x:c r="AM12" s="38" t="n">
        <x:v>0.5</x:v>
      </x:c>
      <x:c r="AN12" s="38" t="n">
        <x:v>1</x:v>
      </x:c>
      <x:c r="AO12" s="38" t="n">
        <x:v>1</x:v>
      </x:c>
      <x:c r="AP12" s="38" t="n">
        <x:v>0</x:v>
      </x:c>
      <x:c r="AQ12" s="28" t="str">
        <x:v>19/24个诊断量落在同一网格下限；IC差1478.2可核对，但不是多份独立实验证据。</x:v>
      </x:c>
      <x:c r="AR12" s="28" t="str">
        <x:v>https://raw.githubusercontent.com/ZYDTR/truthinsightbench-dwf-scoring/main/runs/Astronomy_02_gravity_spectral_structure/workspace/output/Result.md</x:v>
      </x:c>
      <x:c r="AS12" s="28" t="str">
        <x:v>待核验；暂不计入</x:v>
      </x:c>
    </x:row>
    <x:row r="13" ht="65" customHeight="1">
      <x:c r="A13" s="14" t="n">
        <x:v>8</x:v>
      </x:c>
      <x:c r="B13" s="14" t="str">
        <x:v>Astronomy_02_gravity_spectral_structure</x:v>
      </x:c>
      <x:c r="C13" s="14" t="str">
        <x:v>F3</x:v>
      </x:c>
      <x:c r="D13" s="28" t="str">
        <x:v>未检出稳健窄谱特征</x:v>
      </x:c>
      <x:c r="E13" s="14" t="str">
        <x:v>G1</x:v>
      </x:c>
      <x:c r="F13" s="14" t="n">
        <x:v>0</x:v>
      </x:c>
      <x:c r="G13" s="36" t="n">
        <x:f>SUMPRODUCT(N13:AP13,$N$4:$AP$4)</x:f>
        <x:v>66.5</x:v>
      </x:c>
      <x:c r="H13" s="36" t="n">
        <x:f>SUMPRODUCT(N13:U13,$N$4:$U$4)</x:f>
        <x:v>32.5</x:v>
      </x:c>
      <x:c r="I13" s="36" t="n">
        <x:f>SUMPRODUCT(V13:Z13,$V$4:$Z$4)</x:f>
        <x:v>12</x:v>
      </x:c>
      <x:c r="J13" s="36" t="n">
        <x:f>SUMPRODUCT(AA13:AE13,$AA$4:$AE$4)</x:f>
        <x:v>13.5</x:v>
      </x:c>
      <x:c r="K13" s="36" t="n">
        <x:f>SUMPRODUCT(AF13:AI13,$AF$4:$AI$4)</x:f>
        <x:v>2</x:v>
      </x:c>
      <x:c r="L13" s="36" t="n">
        <x:f>SUMPRODUCT(AJ13:AK13,$AJ$4:$AK$4)</x:f>
        <x:v>4</x:v>
      </x:c>
      <x:c r="M13" s="36" t="n">
        <x:f>SUMPRODUCT(AL13:AP13,$AL$4:$AP$4)</x:f>
        <x:v>2.5</x:v>
      </x:c>
      <x:c r="N13" s="38" t="n">
        <x:v>0.5</x:v>
      </x:c>
      <x:c r="O13" s="38" t="n">
        <x:v>1</x:v>
      </x:c>
      <x:c r="P13" s="38" t="n">
        <x:v>0.5</x:v>
      </x:c>
      <x:c r="Q13" s="38" t="n">
        <x:v>1</x:v>
      </x:c>
      <x:c r="R13" s="38" t="n">
        <x:v>0.5</x:v>
      </x:c>
      <x:c r="S13" s="38" t="n">
        <x:v>0.5</x:v>
      </x:c>
      <x:c r="T13" s="38" t="n">
        <x:v>1</x:v>
      </x:c>
      <x:c r="U13" s="38" t="n">
        <x:v>1</x:v>
      </x:c>
      <x:c r="V13" s="38" t="n">
        <x:v>1</x:v>
      </x:c>
      <x:c r="W13" s="38" t="n">
        <x:v>0</x:v>
      </x:c>
      <x:c r="X13" s="38" t="n">
        <x:v>1</x:v>
      </x:c>
      <x:c r="Y13" s="38" t="n">
        <x:v>1</x:v>
      </x:c>
      <x:c r="Z13" s="38" t="n">
        <x:v>1</x:v>
      </x:c>
      <x:c r="AA13" s="38" t="n">
        <x:v>1</x:v>
      </x:c>
      <x:c r="AB13" s="38" t="n">
        <x:v>1</x:v>
      </x:c>
      <x:c r="AC13" s="38" t="n">
        <x:v>1</x:v>
      </x:c>
      <x:c r="AD13" s="38" t="n">
        <x:v>1</x:v>
      </x:c>
      <x:c r="AE13" s="38" t="n">
        <x:v>0.5</x:v>
      </x:c>
      <x:c r="AF13" s="38" t="n">
        <x:v>0.5</x:v>
      </x:c>
      <x:c r="AG13" s="38" t="n">
        <x:v>0</x:v>
      </x:c>
      <x:c r="AH13" s="38" t="n">
        <x:v>0</x:v>
      </x:c>
      <x:c r="AI13" s="38" t="n">
        <x:v>0.5</x:v>
      </x:c>
      <x:c r="AJ13" s="38" t="n">
        <x:v>1</x:v>
      </x:c>
      <x:c r="AK13" s="38" t="n">
        <x:v>0</x:v>
      </x:c>
      <x:c r="AL13" s="38" t="n">
        <x:v>1</x:v>
      </x:c>
      <x:c r="AM13" s="38" t="n">
        <x:v>0.5</x:v>
      </x:c>
      <x:c r="AN13" s="38" t="n">
        <x:v>1</x:v>
      </x:c>
      <x:c r="AO13" s="38" t="n">
        <x:v>0</x:v>
      </x:c>
      <x:c r="AP13" s="38" t="n">
        <x:v>0</x:v>
      </x:c>
      <x:c r="AQ13" s="28" t="str">
        <x:v>AR(1)背景和全扫描校正后，多数条件不显著；负结果限定在实际搜索带宽。</x:v>
      </x:c>
      <x:c r="AR13" s="28" t="str">
        <x:v>https://raw.githubusercontent.com/ZYDTR/truthinsightbench-dwf-scoring/main/runs/Astronomy_02_gravity_spectral_structure/workspace/output/Result.md</x:v>
      </x:c>
      <x:c r="AS13" s="28" t="str">
        <x:v>待核验；暂不计入</x:v>
      </x:c>
    </x:row>
    <x:row r="14" ht="65" customHeight="1">
      <x:c r="A14" s="14" t="n">
        <x:v>9</x:v>
      </x:c>
      <x:c r="B14" s="14" t="str">
        <x:v>Astronomy_02_gravity_spectral_structure</x:v>
      </x:c>
      <x:c r="C14" s="14" t="str">
        <x:v>F4</x:v>
      </x:c>
      <x:c r="D14" s="28" t="str">
        <x:v>分辨率与检测功效边界</x:v>
      </x:c>
      <x:c r="E14" s="14" t="str">
        <x:v>G5</x:v>
      </x:c>
      <x:c r="F14" s="14" t="n">
        <x:v>0</x:v>
      </x:c>
      <x:c r="G14" s="36" t="n">
        <x:f>SUMPRODUCT(N14:AP14,$N$4:$AP$4)</x:f>
        <x:v>61</x:v>
      </x:c>
      <x:c r="H14" s="36" t="n">
        <x:f>SUMPRODUCT(N14:U14,$N$4:$U$4)</x:f>
        <x:v>28.5</x:v>
      </x:c>
      <x:c r="I14" s="36" t="n">
        <x:f>SUMPRODUCT(V14:Z14,$V$4:$Z$4)</x:f>
        <x:v>12</x:v>
      </x:c>
      <x:c r="J14" s="36" t="n">
        <x:f>SUMPRODUCT(AA14:AE14,$AA$4:$AE$4)</x:f>
        <x:v>12</x:v>
      </x:c>
      <x:c r="K14" s="36" t="n">
        <x:f>SUMPRODUCT(AF14:AI14,$AF$4:$AI$4)</x:f>
        <x:v>2</x:v>
      </x:c>
      <x:c r="L14" s="36" t="n">
        <x:f>SUMPRODUCT(AJ14:AK14,$AJ$4:$AK$4)</x:f>
        <x:v>4</x:v>
      </x:c>
      <x:c r="M14" s="36" t="n">
        <x:f>SUMPRODUCT(AL14:AP14,$AL$4:$AP$4)</x:f>
        <x:v>2.5</x:v>
      </x:c>
      <x:c r="N14" s="38" t="n">
        <x:v>0.5</x:v>
      </x:c>
      <x:c r="O14" s="38" t="n">
        <x:v>1</x:v>
      </x:c>
      <x:c r="P14" s="38" t="n">
        <x:v>0.5</x:v>
      </x:c>
      <x:c r="Q14" s="38" t="n">
        <x:v>1</x:v>
      </x:c>
      <x:c r="R14" s="38" t="n">
        <x:v>0.5</x:v>
      </x:c>
      <x:c r="S14" s="38" t="n">
        <x:v>0.5</x:v>
      </x:c>
      <x:c r="T14" s="38" t="n">
        <x:v>0.5</x:v>
      </x:c>
      <x:c r="U14" s="38" t="n">
        <x:v>1</x:v>
      </x:c>
      <x:c r="V14" s="38" t="n">
        <x:v>1</x:v>
      </x:c>
      <x:c r="W14" s="38" t="n">
        <x:v>0</x:v>
      </x:c>
      <x:c r="X14" s="38" t="n">
        <x:v>1</x:v>
      </x:c>
      <x:c r="Y14" s="38" t="n">
        <x:v>1</x:v>
      </x:c>
      <x:c r="Z14" s="38" t="n">
        <x:v>1</x:v>
      </x:c>
      <x:c r="AA14" s="38" t="n">
        <x:v>1</x:v>
      </x:c>
      <x:c r="AB14" s="38" t="n">
        <x:v>0.5</x:v>
      </x:c>
      <x:c r="AC14" s="38" t="n">
        <x:v>1</x:v>
      </x:c>
      <x:c r="AD14" s="38" t="n">
        <x:v>1</x:v>
      </x:c>
      <x:c r="AE14" s="38" t="n">
        <x:v>0.5</x:v>
      </x:c>
      <x:c r="AF14" s="38" t="n">
        <x:v>0.5</x:v>
      </x:c>
      <x:c r="AG14" s="38" t="n">
        <x:v>0</x:v>
      </x:c>
      <x:c r="AH14" s="38" t="n">
        <x:v>0</x:v>
      </x:c>
      <x:c r="AI14" s="38" t="n">
        <x:v>0.5</x:v>
      </x:c>
      <x:c r="AJ14" s="38" t="n">
        <x:v>1</x:v>
      </x:c>
      <x:c r="AK14" s="38" t="n">
        <x:v>0</x:v>
      </x:c>
      <x:c r="AL14" s="38" t="n">
        <x:v>1</x:v>
      </x:c>
      <x:c r="AM14" s="38" t="n">
        <x:v>0.5</x:v>
      </x:c>
      <x:c r="AN14" s="38" t="n">
        <x:v>1</x:v>
      </x:c>
      <x:c r="AO14" s="38" t="n">
        <x:v>0</x:v>
      </x:c>
      <x:c r="AP14" s="38" t="n">
        <x:v>0</x:v>
      </x:c>
      <x:c r="AQ14" s="28" t="str">
        <x:v>分辨率高于候选间隔，限制可分辨性；不同噪声设定下功效不宜混为统一保证。</x:v>
      </x:c>
      <x:c r="AR14" s="28" t="str">
        <x:v>https://raw.githubusercontent.com/ZYDTR/truthinsightbench-dwf-scoring/main/runs/Astronomy_02_gravity_spectral_structure/workspace/output/Result.md</x:v>
      </x:c>
      <x:c r="AS14" s="28" t="str">
        <x:v>待核验；暂不计入</x:v>
      </x:c>
    </x:row>
    <x:row r="15" ht="65" customHeight="1">
      <x:c r="A15" s="14" t="n">
        <x:v>10</x:v>
      </x:c>
      <x:c r="B15" s="14" t="str">
        <x:v>Astronomy_02_gravity_spectral_structure</x:v>
      </x:c>
      <x:c r="C15" s="14" t="str">
        <x:v>F5</x:v>
      </x:c>
      <x:c r="D15" s="28" t="str">
        <x:v>截断网格和参数退化</x:v>
      </x:c>
      <x:c r="E15" s="14" t="str">
        <x:v>G3</x:v>
      </x:c>
      <x:c r="F15" s="14" t="n">
        <x:v>0</x:v>
      </x:c>
      <x:c r="G15" s="36" t="n">
        <x:f>SUMPRODUCT(N15:AP15,$N$4:$AP$4)</x:f>
        <x:v>65.5</x:v>
      </x:c>
      <x:c r="H15" s="36" t="n">
        <x:f>SUMPRODUCT(N15:U15,$N$4:$U$4)</x:f>
        <x:v>32.5</x:v>
      </x:c>
      <x:c r="I15" s="36" t="n">
        <x:f>SUMPRODUCT(V15:Z15,$V$4:$Z$4)</x:f>
        <x:v>10.5</x:v>
      </x:c>
      <x:c r="J15" s="36" t="n">
        <x:f>SUMPRODUCT(AA15:AE15,$AA$4:$AE$4)</x:f>
        <x:v>13.5</x:v>
      </x:c>
      <x:c r="K15" s="36" t="n">
        <x:f>SUMPRODUCT(AF15:AI15,$AF$4:$AI$4)</x:f>
        <x:v>2</x:v>
      </x:c>
      <x:c r="L15" s="36" t="n">
        <x:f>SUMPRODUCT(AJ15:AK15,$AJ$4:$AK$4)</x:f>
        <x:v>4</x:v>
      </x:c>
      <x:c r="M15" s="36" t="n">
        <x:f>SUMPRODUCT(AL15:AP15,$AL$4:$AP$4)</x:f>
        <x:v>3</x:v>
      </x:c>
      <x:c r="N15" s="38" t="n">
        <x:v>0.5</x:v>
      </x:c>
      <x:c r="O15" s="38" t="n">
        <x:v>1</x:v>
      </x:c>
      <x:c r="P15" s="38" t="n">
        <x:v>0.5</x:v>
      </x:c>
      <x:c r="Q15" s="38" t="n">
        <x:v>1</x:v>
      </x:c>
      <x:c r="R15" s="38" t="n">
        <x:v>0.5</x:v>
      </x:c>
      <x:c r="S15" s="38" t="n">
        <x:v>0.5</x:v>
      </x:c>
      <x:c r="T15" s="38" t="n">
        <x:v>1</x:v>
      </x:c>
      <x:c r="U15" s="38" t="n">
        <x:v>1</x:v>
      </x:c>
      <x:c r="V15" s="38" t="n">
        <x:v>0.5</x:v>
      </x:c>
      <x:c r="W15" s="38" t="n">
        <x:v>0</x:v>
      </x:c>
      <x:c r="X15" s="38" t="n">
        <x:v>1</x:v>
      </x:c>
      <x:c r="Y15" s="38" t="n">
        <x:v>1</x:v>
      </x:c>
      <x:c r="Z15" s="38" t="n">
        <x:v>1</x:v>
      </x:c>
      <x:c r="AA15" s="38" t="n">
        <x:v>1</x:v>
      </x:c>
      <x:c r="AB15" s="38" t="n">
        <x:v>1</x:v>
      </x:c>
      <x:c r="AC15" s="38" t="n">
        <x:v>1</x:v>
      </x:c>
      <x:c r="AD15" s="38" t="n">
        <x:v>1</x:v>
      </x:c>
      <x:c r="AE15" s="38" t="n">
        <x:v>0.5</x:v>
      </x:c>
      <x:c r="AF15" s="38" t="n">
        <x:v>0.5</x:v>
      </x:c>
      <x:c r="AG15" s="38" t="n">
        <x:v>0</x:v>
      </x:c>
      <x:c r="AH15" s="38" t="n">
        <x:v>0</x:v>
      </x:c>
      <x:c r="AI15" s="38" t="n">
        <x:v>0.5</x:v>
      </x:c>
      <x:c r="AJ15" s="38" t="n">
        <x:v>1</x:v>
      </x:c>
      <x:c r="AK15" s="38" t="n">
        <x:v>0</x:v>
      </x:c>
      <x:c r="AL15" s="38" t="n">
        <x:v>0.5</x:v>
      </x:c>
      <x:c r="AM15" s="38" t="n">
        <x:v>0.5</x:v>
      </x:c>
      <x:c r="AN15" s="38" t="n">
        <x:v>1</x:v>
      </x:c>
      <x:c r="AO15" s="38" t="n">
        <x:v>1</x:v>
      </x:c>
      <x:c r="AP15" s="38" t="n">
        <x:v>0</x:v>
      </x:c>
      <x:c r="AQ15" s="28" t="str">
        <x:v>频率、宽度与速度强耦合，局部IC比较不能充当置信域；交互模型和截断敏感性支持这一边界。</x:v>
      </x:c>
      <x:c r="AR15" s="28" t="str">
        <x:v>https://raw.githubusercontent.com/ZYDTR/truthinsightbench-dwf-scoring/main/runs/Astronomy_02_gravity_spectral_structure/workspace/output/Result.md</x:v>
      </x:c>
      <x:c r="AS15" s="28" t="str">
        <x:v>待核验；暂不计入</x:v>
      </x:c>
    </x:row>
    <x:row r="16" ht="65" customHeight="1">
      <x:c r="A16" s="14" t="n">
        <x:v>11</x:v>
      </x:c>
      <x:c r="B16" s="14" t="str">
        <x:v>Astronomy_03_stellar_spectral_boundary</x:v>
      </x:c>
      <x:c r="C16" s="14" t="str">
        <x:v>F1</x:v>
      </x:c>
      <x:c r="D16" s="28" t="str">
        <x:v>金属丰度效应存在波段换号</x:v>
      </x:c>
      <x:c r="E16" s="14" t="str">
        <x:v>G4</x:v>
      </x:c>
      <x:c r="F16" s="14" t="n">
        <x:v>0</x:v>
      </x:c>
      <x:c r="G16" s="36" t="n">
        <x:f>SUMPRODUCT(N16:AP16,$N$4:$AP$4)</x:f>
        <x:v>65</x:v>
      </x:c>
      <x:c r="H16" s="36" t="n">
        <x:f>SUMPRODUCT(N16:U16,$N$4:$U$4)</x:f>
        <x:v>32.5</x:v>
      </x:c>
      <x:c r="I16" s="36" t="n">
        <x:f>SUMPRODUCT(V16:Z16,$V$4:$Z$4)</x:f>
        <x:v>12</x:v>
      </x:c>
      <x:c r="J16" s="36" t="n">
        <x:f>SUMPRODUCT(AA16:AE16,$AA$4:$AE$4)</x:f>
        <x:v>12</x:v>
      </x:c>
      <x:c r="K16" s="36" t="n">
        <x:f>SUMPRODUCT(AF16:AI16,$AF$4:$AI$4)</x:f>
        <x:v>2</x:v>
      </x:c>
      <x:c r="L16" s="36" t="n">
        <x:f>SUMPRODUCT(AJ16:AK16,$AJ$4:$AK$4)</x:f>
        <x:v>4</x:v>
      </x:c>
      <x:c r="M16" s="36" t="n">
        <x:f>SUMPRODUCT(AL16:AP16,$AL$4:$AP$4)</x:f>
        <x:v>2.5</x:v>
      </x:c>
      <x:c r="N16" s="38" t="n">
        <x:v>0.5</x:v>
      </x:c>
      <x:c r="O16" s="38" t="n">
        <x:v>1</x:v>
      </x:c>
      <x:c r="P16" s="38" t="n">
        <x:v>0.5</x:v>
      </x:c>
      <x:c r="Q16" s="38" t="n">
        <x:v>1</x:v>
      </x:c>
      <x:c r="R16" s="38" t="n">
        <x:v>0.5</x:v>
      </x:c>
      <x:c r="S16" s="38" t="n">
        <x:v>0.5</x:v>
      </x:c>
      <x:c r="T16" s="38" t="n">
        <x:v>1</x:v>
      </x:c>
      <x:c r="U16" s="38" t="n">
        <x:v>1</x:v>
      </x:c>
      <x:c r="V16" s="38" t="n">
        <x:v>1</x:v>
      </x:c>
      <x:c r="W16" s="38" t="n">
        <x:v>0</x:v>
      </x:c>
      <x:c r="X16" s="38" t="n">
        <x:v>1</x:v>
      </x:c>
      <x:c r="Y16" s="38" t="n">
        <x:v>1</x:v>
      </x:c>
      <x:c r="Z16" s="38" t="n">
        <x:v>1</x:v>
      </x:c>
      <x:c r="AA16" s="38" t="n">
        <x:v>1</x:v>
      </x:c>
      <x:c r="AB16" s="38" t="n">
        <x:v>0.5</x:v>
      </x:c>
      <x:c r="AC16" s="38" t="n">
        <x:v>1</x:v>
      </x:c>
      <x:c r="AD16" s="38" t="n">
        <x:v>1</x:v>
      </x:c>
      <x:c r="AE16" s="38" t="n">
        <x:v>0.5</x:v>
      </x:c>
      <x:c r="AF16" s="38" t="n">
        <x:v>0.5</x:v>
      </x:c>
      <x:c r="AG16" s="38" t="n">
        <x:v>0</x:v>
      </x:c>
      <x:c r="AH16" s="38" t="n">
        <x:v>0</x:v>
      </x:c>
      <x:c r="AI16" s="38" t="n">
        <x:v>0.5</x:v>
      </x:c>
      <x:c r="AJ16" s="38" t="n">
        <x:v>1</x:v>
      </x:c>
      <x:c r="AK16" s="38" t="n">
        <x:v>0</x:v>
      </x:c>
      <x:c r="AL16" s="38" t="n">
        <x:v>1</x:v>
      </x:c>
      <x:c r="AM16" s="38" t="n">
        <x:v>0.5</x:v>
      </x:c>
      <x:c r="AN16" s="38" t="n">
        <x:v>1</x:v>
      </x:c>
      <x:c r="AO16" s="38" t="n">
        <x:v>0</x:v>
      </x:c>
      <x:c r="AP16" s="38" t="n">
        <x:v>0</x:v>
      </x:c>
      <x:c r="AQ16" s="28" t="str">
        <x:v>紫外和可见区方向不同，交叉点随温度移动；无辨别力的交叉点零模型已撤回。</x:v>
      </x:c>
      <x:c r="AR16" s="28" t="str">
        <x:v>https://raw.githubusercontent.com/ZYDTR/truthinsightbench-dwf-scoring/main/runs/Astronomy_03_stellar_spectral_boundary/workspace/output/Result.md</x:v>
      </x:c>
      <x:c r="AS16" s="28" t="str">
        <x:v>待核验；暂不计入</x:v>
      </x:c>
    </x:row>
    <x:row r="17" ht="65" customHeight="1">
      <x:c r="A17" s="14" t="n">
        <x:v>12</x:v>
      </x:c>
      <x:c r="B17" s="14" t="str">
        <x:v>Astronomy_03_stellar_spectral_boundary</x:v>
      </x:c>
      <x:c r="C17" s="14" t="str">
        <x:v>F2</x:v>
      </x:c>
      <x:c r="D17" s="28" t="str">
        <x:v>温度比值随波长交叉</x:v>
      </x:c>
      <x:c r="E17" s="14" t="str">
        <x:v>G3</x:v>
      </x:c>
      <x:c r="F17" s="14" t="n">
        <x:v>0</x:v>
      </x:c>
      <x:c r="G17" s="36" t="n">
        <x:f>SUMPRODUCT(N17:AP17,$N$4:$AP$4)</x:f>
        <x:v>66.5</x:v>
      </x:c>
      <x:c r="H17" s="36" t="n">
        <x:f>SUMPRODUCT(N17:U17,$N$4:$U$4)</x:f>
        <x:v>32.5</x:v>
      </x:c>
      <x:c r="I17" s="36" t="n">
        <x:f>SUMPRODUCT(V17:Z17,$V$4:$Z$4)</x:f>
        <x:v>12</x:v>
      </x:c>
      <x:c r="J17" s="36" t="n">
        <x:f>SUMPRODUCT(AA17:AE17,$AA$4:$AE$4)</x:f>
        <x:v>13.5</x:v>
      </x:c>
      <x:c r="K17" s="36" t="n">
        <x:f>SUMPRODUCT(AF17:AI17,$AF$4:$AI$4)</x:f>
        <x:v>2</x:v>
      </x:c>
      <x:c r="L17" s="36" t="n">
        <x:f>SUMPRODUCT(AJ17:AK17,$AJ$4:$AK$4)</x:f>
        <x:v>4</x:v>
      </x:c>
      <x:c r="M17" s="36" t="n">
        <x:f>SUMPRODUCT(AL17:AP17,$AL$4:$AP$4)</x:f>
        <x:v>2.5</x:v>
      </x:c>
      <x:c r="N17" s="38" t="n">
        <x:v>0.5</x:v>
      </x:c>
      <x:c r="O17" s="38" t="n">
        <x:v>1</x:v>
      </x:c>
      <x:c r="P17" s="38" t="n">
        <x:v>0.5</x:v>
      </x:c>
      <x:c r="Q17" s="38" t="n">
        <x:v>1</x:v>
      </x:c>
      <x:c r="R17" s="38" t="n">
        <x:v>0.5</x:v>
      </x:c>
      <x:c r="S17" s="38" t="n">
        <x:v>0.5</x:v>
      </x:c>
      <x:c r="T17" s="38" t="n">
        <x:v>1</x:v>
      </x:c>
      <x:c r="U17" s="38" t="n">
        <x:v>1</x:v>
      </x:c>
      <x:c r="V17" s="38" t="n">
        <x:v>1</x:v>
      </x:c>
      <x:c r="W17" s="38" t="n">
        <x:v>0</x:v>
      </x:c>
      <x:c r="X17" s="38" t="n">
        <x:v>1</x:v>
      </x:c>
      <x:c r="Y17" s="38" t="n">
        <x:v>1</x:v>
      </x:c>
      <x:c r="Z17" s="38" t="n">
        <x:v>1</x:v>
      </x:c>
      <x:c r="AA17" s="38" t="n">
        <x:v>1</x:v>
      </x:c>
      <x:c r="AB17" s="38" t="n">
        <x:v>1</x:v>
      </x:c>
      <x:c r="AC17" s="38" t="n">
        <x:v>1</x:v>
      </x:c>
      <x:c r="AD17" s="38" t="n">
        <x:v>1</x:v>
      </x:c>
      <x:c r="AE17" s="38" t="n">
        <x:v>0.5</x:v>
      </x:c>
      <x:c r="AF17" s="38" t="n">
        <x:v>0.5</x:v>
      </x:c>
      <x:c r="AG17" s="38" t="n">
        <x:v>0</x:v>
      </x:c>
      <x:c r="AH17" s="38" t="n">
        <x:v>0</x:v>
      </x:c>
      <x:c r="AI17" s="38" t="n">
        <x:v>0.5</x:v>
      </x:c>
      <x:c r="AJ17" s="38" t="n">
        <x:v>1</x:v>
      </x:c>
      <x:c r="AK17" s="38" t="n">
        <x:v>0</x:v>
      </x:c>
      <x:c r="AL17" s="38" t="n">
        <x:v>1</x:v>
      </x:c>
      <x:c r="AM17" s="38" t="n">
        <x:v>0.5</x:v>
      </x:c>
      <x:c r="AN17" s="38" t="n">
        <x:v>1</x:v>
      </x:c>
      <x:c r="AO17" s="38" t="n">
        <x:v>0</x:v>
      </x:c>
      <x:c r="AP17" s="38" t="n">
        <x:v>0</x:v>
      </x:c>
      <x:c r="AQ17" s="28" t="str">
        <x:v>35个丰度条件及黑体基线支持交叉结构；量化与同源依赖已限定。</x:v>
      </x:c>
      <x:c r="AR17" s="28" t="str">
        <x:v>https://raw.githubusercontent.com/ZYDTR/truthinsightbench-dwf-scoring/main/runs/Astronomy_03_stellar_spectral_boundary/workspace/output/Result.md</x:v>
      </x:c>
      <x:c r="AS17" s="28" t="str">
        <x:v>待核验；暂不计入</x:v>
      </x:c>
    </x:row>
    <x:row r="18" ht="65" customHeight="1">
      <x:c r="A18" s="14" t="n">
        <x:v>13</x:v>
      </x:c>
      <x:c r="B18" s="14" t="str">
        <x:v>Astronomy_03_stellar_spectral_boundary</x:v>
      </x:c>
      <x:c r="C18" s="14" t="str">
        <x:v>F3</x:v>
      </x:c>
      <x:c r="D18" s="28" t="str">
        <x:v>归一化曲线可追溯至特定温度谱</x:v>
      </x:c>
      <x:c r="E18" s="14" t="str">
        <x:v>G1</x:v>
      </x:c>
      <x:c r="F18" s="14" t="n">
        <x:v>0</x:v>
      </x:c>
      <x:c r="G18" s="36" t="n">
        <x:f>SUMPRODUCT(N18:AP18,$N$4:$AP$4)</x:f>
        <x:v>67.5</x:v>
      </x:c>
      <x:c r="H18" s="36" t="n">
        <x:f>SUMPRODUCT(N18:U18,$N$4:$U$4)</x:f>
        <x:v>32.5</x:v>
      </x:c>
      <x:c r="I18" s="36" t="n">
        <x:f>SUMPRODUCT(V18:Z18,$V$4:$Z$4)</x:f>
        <x:v>10.5</x:v>
      </x:c>
      <x:c r="J18" s="36" t="n">
        <x:f>SUMPRODUCT(AA18:AE18,$AA$4:$AE$4)</x:f>
        <x:v>13.5</x:v>
      </x:c>
      <x:c r="K18" s="36" t="n">
        <x:f>SUMPRODUCT(AF18:AI18,$AF$4:$AI$4)</x:f>
        <x:v>4</x:v>
      </x:c>
      <x:c r="L18" s="36" t="n">
        <x:f>SUMPRODUCT(AJ18:AK18,$AJ$4:$AK$4)</x:f>
        <x:v>4</x:v>
      </x:c>
      <x:c r="M18" s="36" t="n">
        <x:f>SUMPRODUCT(AL18:AP18,$AL$4:$AP$4)</x:f>
        <x:v>3</x:v>
      </x:c>
      <x:c r="N18" s="38" t="n">
        <x:v>0.5</x:v>
      </x:c>
      <x:c r="O18" s="38" t="n">
        <x:v>1</x:v>
      </x:c>
      <x:c r="P18" s="38" t="n">
        <x:v>0.5</x:v>
      </x:c>
      <x:c r="Q18" s="38" t="n">
        <x:v>1</x:v>
      </x:c>
      <x:c r="R18" s="38" t="n">
        <x:v>0.5</x:v>
      </x:c>
      <x:c r="S18" s="38" t="n">
        <x:v>0.5</x:v>
      </x:c>
      <x:c r="T18" s="38" t="n">
        <x:v>1</x:v>
      </x:c>
      <x:c r="U18" s="38" t="n">
        <x:v>1</x:v>
      </x:c>
      <x:c r="V18" s="38" t="n">
        <x:v>0.5</x:v>
      </x:c>
      <x:c r="W18" s="38" t="n">
        <x:v>0</x:v>
      </x:c>
      <x:c r="X18" s="38" t="n">
        <x:v>1</x:v>
      </x:c>
      <x:c r="Y18" s="38" t="n">
        <x:v>1</x:v>
      </x:c>
      <x:c r="Z18" s="38" t="n">
        <x:v>1</x:v>
      </x:c>
      <x:c r="AA18" s="38" t="n">
        <x:v>1</x:v>
      </x:c>
      <x:c r="AB18" s="38" t="n">
        <x:v>1</x:v>
      </x:c>
      <x:c r="AC18" s="38" t="n">
        <x:v>1</x:v>
      </x:c>
      <x:c r="AD18" s="38" t="n">
        <x:v>1</x:v>
      </x:c>
      <x:c r="AE18" s="38" t="n">
        <x:v>0.5</x:v>
      </x:c>
      <x:c r="AF18" s="38" t="n">
        <x:v>1</x:v>
      </x:c>
      <x:c r="AG18" s="38" t="n">
        <x:v>0</x:v>
      </x:c>
      <x:c r="AH18" s="38" t="n">
        <x:v>0</x:v>
      </x:c>
      <x:c r="AI18" s="38" t="n">
        <x:v>1</x:v>
      </x:c>
      <x:c r="AJ18" s="38" t="n">
        <x:v>1</x:v>
      </x:c>
      <x:c r="AK18" s="38" t="n">
        <x:v>0</x:v>
      </x:c>
      <x:c r="AL18" s="38" t="n">
        <x:v>0.5</x:v>
      </x:c>
      <x:c r="AM18" s="38" t="n">
        <x:v>0.5</x:v>
      </x:c>
      <x:c r="AN18" s="38" t="n">
        <x:v>1</x:v>
      </x:c>
      <x:c r="AO18" s="38" t="n">
        <x:v>1</x:v>
      </x:c>
      <x:c r="AP18" s="38" t="n">
        <x:v>0</x:v>
      </x:c>
      <x:c r="AQ18" s="28" t="str">
        <x:v>校准窗口与窗外检验分开，舍入误差量级匹配；没有独立来源的新数据。</x:v>
      </x:c>
      <x:c r="AR18" s="28" t="str">
        <x:v>https://raw.githubusercontent.com/ZYDTR/truthinsightbench-dwf-scoring/main/runs/Astronomy_03_stellar_spectral_boundary/workspace/output/Result.md</x:v>
      </x:c>
      <x:c r="AS18" s="28" t="str">
        <x:v>待核验；暂不计入</x:v>
      </x:c>
    </x:row>
    <x:row r="19" ht="65" customHeight="1">
      <x:c r="A19" s="14" t="n">
        <x:v>14</x:v>
      </x:c>
      <x:c r="B19" s="14" t="str">
        <x:v>Astronomy_03_stellar_spectral_boundary</x:v>
      </x:c>
      <x:c r="C19" s="14" t="str">
        <x:v>F4</x:v>
      </x:c>
      <x:c r="D19" s="28" t="str">
        <x:v>紫外重分箱产生近五倍因子</x:v>
      </x:c>
      <x:c r="E19" s="14" t="str">
        <x:v>G2</x:v>
      </x:c>
      <x:c r="F19" s="14" t="n">
        <x:v>0</x:v>
      </x:c>
      <x:c r="G19" s="36" t="n">
        <x:f>SUMPRODUCT(N19:AP19,$N$4:$AP$4)</x:f>
        <x:v>67</x:v>
      </x:c>
      <x:c r="H19" s="36" t="n">
        <x:f>SUMPRODUCT(N19:U19,$N$4:$U$4)</x:f>
        <x:v>32.5</x:v>
      </x:c>
      <x:c r="I19" s="36" t="n">
        <x:f>SUMPRODUCT(V19:Z19,$V$4:$Z$4)</x:f>
        <x:v>12</x:v>
      </x:c>
      <x:c r="J19" s="36" t="n">
        <x:f>SUMPRODUCT(AA19:AE19,$AA$4:$AE$4)</x:f>
        <x:v>13.5</x:v>
      </x:c>
      <x:c r="K19" s="36" t="n">
        <x:f>SUMPRODUCT(AF19:AI19,$AF$4:$AI$4)</x:f>
        <x:v>2</x:v>
      </x:c>
      <x:c r="L19" s="36" t="n">
        <x:f>SUMPRODUCT(AJ19:AK19,$AJ$4:$AK$4)</x:f>
        <x:v>4</x:v>
      </x:c>
      <x:c r="M19" s="36" t="n">
        <x:f>SUMPRODUCT(AL19:AP19,$AL$4:$AP$4)</x:f>
        <x:v>3</x:v>
      </x:c>
      <x:c r="N19" s="38" t="n">
        <x:v>0.5</x:v>
      </x:c>
      <x:c r="O19" s="38" t="n">
        <x:v>1</x:v>
      </x:c>
      <x:c r="P19" s="38" t="n">
        <x:v>0.5</x:v>
      </x:c>
      <x:c r="Q19" s="38" t="n">
        <x:v>1</x:v>
      </x:c>
      <x:c r="R19" s="38" t="n">
        <x:v>0.5</x:v>
      </x:c>
      <x:c r="S19" s="38" t="n">
        <x:v>0.5</x:v>
      </x:c>
      <x:c r="T19" s="38" t="n">
        <x:v>1</x:v>
      </x:c>
      <x:c r="U19" s="38" t="n">
        <x:v>1</x:v>
      </x:c>
      <x:c r="V19" s="38" t="n">
        <x:v>1</x:v>
      </x:c>
      <x:c r="W19" s="38" t="n">
        <x:v>0</x:v>
      </x:c>
      <x:c r="X19" s="38" t="n">
        <x:v>1</x:v>
      </x:c>
      <x:c r="Y19" s="38" t="n">
        <x:v>1</x:v>
      </x:c>
      <x:c r="Z19" s="38" t="n">
        <x:v>1</x:v>
      </x:c>
      <x:c r="AA19" s="38" t="n">
        <x:v>1</x:v>
      </x:c>
      <x:c r="AB19" s="38" t="n">
        <x:v>1</x:v>
      </x:c>
      <x:c r="AC19" s="38" t="n">
        <x:v>1</x:v>
      </x:c>
      <x:c r="AD19" s="38" t="n">
        <x:v>1</x:v>
      </x:c>
      <x:c r="AE19" s="38" t="n">
        <x:v>0.5</x:v>
      </x:c>
      <x:c r="AF19" s="38" t="n">
        <x:v>0.5</x:v>
      </x:c>
      <x:c r="AG19" s="38" t="n">
        <x:v>0</x:v>
      </x:c>
      <x:c r="AH19" s="38" t="n">
        <x:v>0</x:v>
      </x:c>
      <x:c r="AI19" s="38" t="n">
        <x:v>0.5</x:v>
      </x:c>
      <x:c r="AJ19" s="38" t="n">
        <x:v>1</x:v>
      </x:c>
      <x:c r="AK19" s="38" t="n">
        <x:v>0</x:v>
      </x:c>
      <x:c r="AL19" s="38" t="n">
        <x:v>0.5</x:v>
      </x:c>
      <x:c r="AM19" s="38" t="n">
        <x:v>0.5</x:v>
      </x:c>
      <x:c r="AN19" s="38" t="n">
        <x:v>1</x:v>
      </x:c>
      <x:c r="AO19" s="38" t="n">
        <x:v>1</x:v>
      </x:c>
      <x:c r="AP19" s="38" t="n">
        <x:v>0</x:v>
      </x:c>
      <x:c r="AQ19" s="28" t="str">
        <x:v>约5.001的比例在重分箱解释下成立，并比较了平移与求和替代；限定为处理来源证据。</x:v>
      </x:c>
      <x:c r="AR19" s="28" t="str">
        <x:v>https://raw.githubusercontent.com/ZYDTR/truthinsightbench-dwf-scoring/main/runs/Astronomy_03_stellar_spectral_boundary/workspace/output/Result.md</x:v>
      </x:c>
      <x:c r="AS19" s="28" t="str">
        <x:v>待核验；暂不计入</x:v>
      </x:c>
    </x:row>
    <x:row r="20" ht="65" customHeight="1">
      <x:c r="A20" s="14" t="n">
        <x:v>15</x:v>
      </x:c>
      <x:c r="B20" s="14" t="str">
        <x:v>Chemistry_01_bond_enthalpy_domain</x:v>
      </x:c>
      <x:c r="C20" s="14" t="str">
        <x:v>F1</x:v>
      </x:c>
      <x:c r="D20" s="28" t="str">
        <x:v>数据库结构域与基准覆盖缺口</x:v>
      </x:c>
      <x:c r="E20" s="14" t="str">
        <x:v>G4</x:v>
      </x:c>
      <x:c r="F20" s="14" t="n">
        <x:v>0</x:v>
      </x:c>
      <x:c r="G20" s="36" t="n">
        <x:f>SUMPRODUCT(N20:AP20,$N$4:$AP$4)</x:f>
        <x:v>60</x:v>
      </x:c>
      <x:c r="H20" s="36" t="n">
        <x:f>SUMPRODUCT(N20:U20,$N$4:$U$4)</x:f>
        <x:v>32.5</x:v>
      </x:c>
      <x:c r="I20" s="36" t="n">
        <x:f>SUMPRODUCT(V20:Z20,$V$4:$Z$4)</x:f>
        <x:v>9</x:v>
      </x:c>
      <x:c r="J20" s="36" t="n">
        <x:f>SUMPRODUCT(AA20:AE20,$AA$4:$AE$4)</x:f>
        <x:v>12</x:v>
      </x:c>
      <x:c r="K20" s="36" t="n">
        <x:f>SUMPRODUCT(AF20:AI20,$AF$4:$AI$4)</x:f>
        <x:v>0</x:v>
      </x:c>
      <x:c r="L20" s="36" t="n">
        <x:f>SUMPRODUCT(AJ20:AK20,$AJ$4:$AK$4)</x:f>
        <x:v>4</x:v>
      </x:c>
      <x:c r="M20" s="36" t="n">
        <x:f>SUMPRODUCT(AL20:AP20,$AL$4:$AP$4)</x:f>
        <x:v>2.5</x:v>
      </x:c>
      <x:c r="N20" s="38" t="n">
        <x:v>0.5</x:v>
      </x:c>
      <x:c r="O20" s="38" t="n">
        <x:v>1</x:v>
      </x:c>
      <x:c r="P20" s="38" t="n">
        <x:v>0.5</x:v>
      </x:c>
      <x:c r="Q20" s="38" t="n">
        <x:v>1</x:v>
      </x:c>
      <x:c r="R20" s="38" t="n">
        <x:v>0.5</x:v>
      </x:c>
      <x:c r="S20" s="38" t="n">
        <x:v>0.5</x:v>
      </x:c>
      <x:c r="T20" s="38" t="n">
        <x:v>1</x:v>
      </x:c>
      <x:c r="U20" s="38" t="n">
        <x:v>1</x:v>
      </x:c>
      <x:c r="V20" s="38" t="n">
        <x:v>0.5</x:v>
      </x:c>
      <x:c r="W20" s="38" t="n">
        <x:v>0</x:v>
      </x:c>
      <x:c r="X20" s="38" t="n">
        <x:v>0.5</x:v>
      </x:c>
      <x:c r="Y20" s="38" t="n">
        <x:v>1</x:v>
      </x:c>
      <x:c r="Z20" s="38" t="n">
        <x:v>1</x:v>
      </x:c>
      <x:c r="AA20" s="38" t="n">
        <x:v>1</x:v>
      </x:c>
      <x:c r="AB20" s="38" t="n">
        <x:v>0.5</x:v>
      </x:c>
      <x:c r="AC20" s="38" t="n">
        <x:v>1</x:v>
      </x:c>
      <x:c r="AD20" s="38" t="n">
        <x:v>1</x:v>
      </x:c>
      <x:c r="AE20" s="38" t="n">
        <x:v>0.5</x:v>
      </x:c>
      <x:c r="AF20" s="38" t="n">
        <x:v>0</x:v>
      </x:c>
      <x:c r="AG20" s="38" t="n">
        <x:v>0</x:v>
      </x:c>
      <x:c r="AH20" s="38" t="n">
        <x:v>0</x:v>
      </x:c>
      <x:c r="AI20" s="38" t="n">
        <x:v>0</x:v>
      </x:c>
      <x:c r="AJ20" s="38" t="n">
        <x:v>1</x:v>
      </x:c>
      <x:c r="AK20" s="38" t="n">
        <x:v>0</x:v>
      </x:c>
      <x:c r="AL20" s="38" t="n">
        <x:v>0.5</x:v>
      </x:c>
      <x:c r="AM20" s="38" t="n">
        <x:v>0</x:v>
      </x:c>
      <x:c r="AN20" s="38" t="n">
        <x:v>1</x:v>
      </x:c>
      <x:c r="AO20" s="38" t="n">
        <x:v>1</x:v>
      </x:c>
      <x:c r="AP20" s="38" t="n">
        <x:v>0</x:v>
      </x:c>
      <x:c r="AQ20" s="28" t="str">
        <x:v>完整数据库和基准的分子/键层级分开；域外27.62%和6类未覆盖结论有定位证据。</x:v>
      </x:c>
      <x:c r="AR20" s="28" t="str">
        <x:v>https://raw.githubusercontent.com/ZYDTR/truthinsightbench-dwf-scoring/main/runs/Chemistry_01_bond_enthalpy_domain/workspace/output/Result.md</x:v>
      </x:c>
      <x:c r="AS20" s="28" t="str">
        <x:v>待核验；暂不计入</x:v>
      </x:c>
    </x:row>
    <x:row r="21" ht="65" customHeight="1">
      <x:c r="A21" s="14" t="n">
        <x:v>16</x:v>
      </x:c>
      <x:c r="B21" s="14" t="str">
        <x:v>Chemistry_01_bond_enthalpy_domain</x:v>
      </x:c>
      <x:c r="C21" s="14" t="str">
        <x:v>F2</x:v>
      </x:c>
      <x:c r="D21" s="28" t="str">
        <x:v>量子与学习排序取决于区域</x:v>
      </x:c>
      <x:c r="E21" s="14" t="str">
        <x:v>G5</x:v>
      </x:c>
      <x:c r="F21" s="14" t="n">
        <x:v>0</x:v>
      </x:c>
      <x:c r="G21" s="36" t="n">
        <x:f>SUMPRODUCT(N21:AP21,$N$4:$AP$4)</x:f>
        <x:v>59</x:v>
      </x:c>
      <x:c r="H21" s="36" t="n">
        <x:f>SUMPRODUCT(N21:U21,$N$4:$U$4)</x:f>
        <x:v>26.5</x:v>
      </x:c>
      <x:c r="I21" s="36" t="n">
        <x:f>SUMPRODUCT(V21:Z21,$V$4:$Z$4)</x:f>
        <x:v>12</x:v>
      </x:c>
      <x:c r="J21" s="36" t="n">
        <x:f>SUMPRODUCT(AA21:AE21,$AA$4:$AE$4)</x:f>
        <x:v>12</x:v>
      </x:c>
      <x:c r="K21" s="36" t="n">
        <x:f>SUMPRODUCT(AF21:AI21,$AF$4:$AI$4)</x:f>
        <x:v>2</x:v>
      </x:c>
      <x:c r="L21" s="36" t="n">
        <x:f>SUMPRODUCT(AJ21:AK21,$AJ$4:$AK$4)</x:f>
        <x:v>4</x:v>
      </x:c>
      <x:c r="M21" s="36" t="n">
        <x:f>SUMPRODUCT(AL21:AP21,$AL$4:$AP$4)</x:f>
        <x:v>2.5</x:v>
      </x:c>
      <x:c r="N21" s="38" t="n">
        <x:v>0.5</x:v>
      </x:c>
      <x:c r="O21" s="38" t="n">
        <x:v>1</x:v>
      </x:c>
      <x:c r="P21" s="38" t="n">
        <x:v>0.5</x:v>
      </x:c>
      <x:c r="Q21" s="38" t="n">
        <x:v>1</x:v>
      </x:c>
      <x:c r="R21" s="38" t="n">
        <x:v>0.5</x:v>
      </x:c>
      <x:c r="S21" s="38" t="n">
        <x:v>0.5</x:v>
      </x:c>
      <x:c r="T21" s="38" t="n">
        <x:v>0.5</x:v>
      </x:c>
      <x:c r="U21" s="38" t="n">
        <x:v>0.5</x:v>
      </x:c>
      <x:c r="V21" s="38" t="n">
        <x:v>1</x:v>
      </x:c>
      <x:c r="W21" s="38" t="n">
        <x:v>0</x:v>
      </x:c>
      <x:c r="X21" s="38" t="n">
        <x:v>1</x:v>
      </x:c>
      <x:c r="Y21" s="38" t="n">
        <x:v>1</x:v>
      </x:c>
      <x:c r="Z21" s="38" t="n">
        <x:v>1</x:v>
      </x:c>
      <x:c r="AA21" s="38" t="n">
        <x:v>1</x:v>
      </x:c>
      <x:c r="AB21" s="38" t="n">
        <x:v>0.5</x:v>
      </x:c>
      <x:c r="AC21" s="38" t="n">
        <x:v>1</x:v>
      </x:c>
      <x:c r="AD21" s="38" t="n">
        <x:v>1</x:v>
      </x:c>
      <x:c r="AE21" s="38" t="n">
        <x:v>0.5</x:v>
      </x:c>
      <x:c r="AF21" s="38" t="n">
        <x:v>0.5</x:v>
      </x:c>
      <x:c r="AG21" s="38" t="n">
        <x:v>0</x:v>
      </x:c>
      <x:c r="AH21" s="38" t="n">
        <x:v>0</x:v>
      </x:c>
      <x:c r="AI21" s="38" t="n">
        <x:v>0.5</x:v>
      </x:c>
      <x:c r="AJ21" s="38" t="n">
        <x:v>1</x:v>
      </x:c>
      <x:c r="AK21" s="38" t="n">
        <x:v>0</x:v>
      </x:c>
      <x:c r="AL21" s="38" t="n">
        <x:v>1</x:v>
      </x:c>
      <x:c r="AM21" s="38" t="n">
        <x:v>0.5</x:v>
      </x:c>
      <x:c r="AN21" s="38" t="n">
        <x:v>1</x:v>
      </x:c>
      <x:c r="AO21" s="38" t="n">
        <x:v>0</x:v>
      </x:c>
      <x:c r="AP21" s="38" t="n">
        <x:v>0</x:v>
      </x:c>
      <x:c r="AQ21" s="28" t="str">
        <x:v>大分子/域外优势有支持，小分子差异不显著；旧显著性表与改正文字并存，且大小与域外身份混杂。</x:v>
      </x:c>
      <x:c r="AR21" s="28" t="str">
        <x:v>https://raw.githubusercontent.com/ZYDTR/truthinsightbench-dwf-scoring/main/runs/Chemistry_01_bond_enthalpy_domain/workspace/output/Result.md</x:v>
      </x:c>
      <x:c r="AS21" s="28" t="str">
        <x:v>待核验；暂不计入</x:v>
      </x:c>
    </x:row>
    <x:row r="22" ht="65" customHeight="1">
      <x:c r="A22" s="14" t="n">
        <x:v>17</x:v>
      </x:c>
      <x:c r="B22" s="14" t="str">
        <x:v>Chemistry_01_bond_enthalpy_domain</x:v>
      </x:c>
      <x:c r="C22" s="14" t="str">
        <x:v>F3</x:v>
      </x:c>
      <x:c r="D22" s="28" t="str">
        <x:v>参考异质性与误差下限的条件解释</x:v>
      </x:c>
      <x:c r="E22" s="14" t="str">
        <x:v>G3</x:v>
      </x:c>
      <x:c r="F22" s="14" t="n">
        <x:v>0</x:v>
      </x:c>
      <x:c r="G22" s="36" t="n">
        <x:f>SUMPRODUCT(N22:AP22,$N$4:$AP$4)</x:f>
        <x:v>60.5</x:v>
      </x:c>
      <x:c r="H22" s="36" t="n">
        <x:f>SUMPRODUCT(N22:U22,$N$4:$U$4)</x:f>
        <x:v>28.5</x:v>
      </x:c>
      <x:c r="I22" s="36" t="n">
        <x:f>SUMPRODUCT(V22:Z22,$V$4:$Z$4)</x:f>
        <x:v>12</x:v>
      </x:c>
      <x:c r="J22" s="36" t="n">
        <x:f>SUMPRODUCT(AA22:AE22,$AA$4:$AE$4)</x:f>
        <x:v>13.5</x:v>
      </x:c>
      <x:c r="K22" s="36" t="n">
        <x:f>SUMPRODUCT(AF22:AI22,$AF$4:$AI$4)</x:f>
        <x:v>0</x:v>
      </x:c>
      <x:c r="L22" s="36" t="n">
        <x:f>SUMPRODUCT(AJ22:AK22,$AJ$4:$AK$4)</x:f>
        <x:v>4</x:v>
      </x:c>
      <x:c r="M22" s="36" t="n">
        <x:f>SUMPRODUCT(AL22:AP22,$AL$4:$AP$4)</x:f>
        <x:v>2.5</x:v>
      </x:c>
      <x:c r="N22" s="38" t="n">
        <x:v>0.5</x:v>
      </x:c>
      <x:c r="O22" s="38" t="n">
        <x:v>1</x:v>
      </x:c>
      <x:c r="P22" s="38" t="n">
        <x:v>0.5</x:v>
      </x:c>
      <x:c r="Q22" s="38" t="n">
        <x:v>1</x:v>
      </x:c>
      <x:c r="R22" s="38" t="n">
        <x:v>0.5</x:v>
      </x:c>
      <x:c r="S22" s="38" t="n">
        <x:v>0.5</x:v>
      </x:c>
      <x:c r="T22" s="38" t="n">
        <x:v>0.5</x:v>
      </x:c>
      <x:c r="U22" s="38" t="n">
        <x:v>1</x:v>
      </x:c>
      <x:c r="V22" s="38" t="n">
        <x:v>1</x:v>
      </x:c>
      <x:c r="W22" s="38" t="n">
        <x:v>0</x:v>
      </x:c>
      <x:c r="X22" s="38" t="n">
        <x:v>1</x:v>
      </x:c>
      <x:c r="Y22" s="38" t="n">
        <x:v>1</x:v>
      </x:c>
      <x:c r="Z22" s="38" t="n">
        <x:v>1</x:v>
      </x:c>
      <x:c r="AA22" s="38" t="n">
        <x:v>1</x:v>
      </x:c>
      <x:c r="AB22" s="38" t="n">
        <x:v>1</x:v>
      </x:c>
      <x:c r="AC22" s="38" t="n">
        <x:v>1</x:v>
      </x:c>
      <x:c r="AD22" s="38" t="n">
        <x:v>1</x:v>
      </x:c>
      <x:c r="AE22" s="38" t="n">
        <x:v>0.5</x:v>
      </x:c>
      <x:c r="AF22" s="38" t="n">
        <x:v>0</x:v>
      </x:c>
      <x:c r="AG22" s="38" t="n">
        <x:v>0</x:v>
      </x:c>
      <x:c r="AH22" s="38" t="n">
        <x:v>0</x:v>
      </x:c>
      <x:c r="AI22" s="38" t="n">
        <x:v>0</x:v>
      </x:c>
      <x:c r="AJ22" s="38" t="n">
        <x:v>1</x:v>
      </x:c>
      <x:c r="AK22" s="38" t="n">
        <x:v>0</x:v>
      </x:c>
      <x:c r="AL22" s="38" t="n">
        <x:v>1</x:v>
      </x:c>
      <x:c r="AM22" s="38" t="n">
        <x:v>0.5</x:v>
      </x:c>
      <x:c r="AN22" s="38" t="n">
        <x:v>1</x:v>
      </x:c>
      <x:c r="AO22" s="38" t="n">
        <x:v>0</x:v>
      </x:c>
      <x:c r="AP22" s="38" t="n">
        <x:v>0</x:v>
      </x:c>
      <x:c r="AQ22" s="28" t="str">
        <x:v>两种估计依赖非真实重复或误差独立假设；已承认非高斯及真BDE差异，不能把2.83视为实测噪声。</x:v>
      </x:c>
      <x:c r="AR22" s="28" t="str">
        <x:v>https://raw.githubusercontent.com/ZYDTR/truthinsightbench-dwf-scoring/main/runs/Chemistry_01_bond_enthalpy_domain/workspace/output/Result.md</x:v>
      </x:c>
      <x:c r="AS22" s="28" t="str">
        <x:v>待核验；暂不计入</x:v>
      </x:c>
    </x:row>
    <x:row r="23" ht="65" customHeight="1">
      <x:c r="A23" s="14" t="n">
        <x:v>18</x:v>
      </x:c>
      <x:c r="B23" s="14" t="str">
        <x:v>Chemistry_01_bond_enthalpy_domain</x:v>
      </x:c>
      <x:c r="C23" s="14" t="str">
        <x:v>F4</x:v>
      </x:c>
      <x:c r="D23" s="28" t="str">
        <x:v>传统参考通道较差且分键类反向偏差</x:v>
      </x:c>
      <x:c r="E23" s="14" t="str">
        <x:v>G2</x:v>
      </x:c>
      <x:c r="F23" s="14" t="n">
        <x:v>0</x:v>
      </x:c>
      <x:c r="G23" s="36" t="n">
        <x:f>SUMPRODUCT(N23:AP23,$N$4:$AP$4)</x:f>
        <x:v>61</x:v>
      </x:c>
      <x:c r="H23" s="36" t="n">
        <x:f>SUMPRODUCT(N23:U23,$N$4:$U$4)</x:f>
        <x:v>28.5</x:v>
      </x:c>
      <x:c r="I23" s="36" t="n">
        <x:f>SUMPRODUCT(V23:Z23,$V$4:$Z$4)</x:f>
        <x:v>12</x:v>
      </x:c>
      <x:c r="J23" s="36" t="n">
        <x:f>SUMPRODUCT(AA23:AE23,$AA$4:$AE$4)</x:f>
        <x:v>12</x:v>
      </x:c>
      <x:c r="K23" s="36" t="n">
        <x:f>SUMPRODUCT(AF23:AI23,$AF$4:$AI$4)</x:f>
        <x:v>2</x:v>
      </x:c>
      <x:c r="L23" s="36" t="n">
        <x:f>SUMPRODUCT(AJ23:AK23,$AJ$4:$AK$4)</x:f>
        <x:v>4</x:v>
      </x:c>
      <x:c r="M23" s="36" t="n">
        <x:f>SUMPRODUCT(AL23:AP23,$AL$4:$AP$4)</x:f>
        <x:v>2.5</x:v>
      </x:c>
      <x:c r="N23" s="38" t="n">
        <x:v>0.5</x:v>
      </x:c>
      <x:c r="O23" s="38" t="n">
        <x:v>1</x:v>
      </x:c>
      <x:c r="P23" s="38" t="n">
        <x:v>0.5</x:v>
      </x:c>
      <x:c r="Q23" s="38" t="n">
        <x:v>1</x:v>
      </x:c>
      <x:c r="R23" s="38" t="n">
        <x:v>0.5</x:v>
      </x:c>
      <x:c r="S23" s="38" t="n">
        <x:v>0.5</x:v>
      </x:c>
      <x:c r="T23" s="38" t="n">
        <x:v>0.5</x:v>
      </x:c>
      <x:c r="U23" s="38" t="n">
        <x:v>1</x:v>
      </x:c>
      <x:c r="V23" s="38" t="n">
        <x:v>1</x:v>
      </x:c>
      <x:c r="W23" s="38" t="n">
        <x:v>0</x:v>
      </x:c>
      <x:c r="X23" s="38" t="n">
        <x:v>1</x:v>
      </x:c>
      <x:c r="Y23" s="38" t="n">
        <x:v>1</x:v>
      </x:c>
      <x:c r="Z23" s="38" t="n">
        <x:v>1</x:v>
      </x:c>
      <x:c r="AA23" s="38" t="n">
        <x:v>1</x:v>
      </x:c>
      <x:c r="AB23" s="38" t="n">
        <x:v>0.5</x:v>
      </x:c>
      <x:c r="AC23" s="38" t="n">
        <x:v>1</x:v>
      </x:c>
      <x:c r="AD23" s="38" t="n">
        <x:v>1</x:v>
      </x:c>
      <x:c r="AE23" s="38" t="n">
        <x:v>0.5</x:v>
      </x:c>
      <x:c r="AF23" s="38" t="n">
        <x:v>0.5</x:v>
      </x:c>
      <x:c r="AG23" s="38" t="n">
        <x:v>0</x:v>
      </x:c>
      <x:c r="AH23" s="38" t="n">
        <x:v>0</x:v>
      </x:c>
      <x:c r="AI23" s="38" t="n">
        <x:v>0.5</x:v>
      </x:c>
      <x:c r="AJ23" s="38" t="n">
        <x:v>1</x:v>
      </x:c>
      <x:c r="AK23" s="38" t="n">
        <x:v>0</x:v>
      </x:c>
      <x:c r="AL23" s="38" t="n">
        <x:v>1</x:v>
      </x:c>
      <x:c r="AM23" s="38" t="n">
        <x:v>0.5</x:v>
      </x:c>
      <x:c r="AN23" s="38" t="n">
        <x:v>1</x:v>
      </x:c>
      <x:c r="AO23" s="38" t="n">
        <x:v>0</x:v>
      </x:c>
      <x:c r="AP23" s="38" t="n">
        <x:v>0</x:v>
      </x:c>
      <x:c r="AQ23" s="28" t="str">
        <x:v>MAE及两类相反偏差稳健；两类均值异号本身不充分证明总体误差分布双峰。</x:v>
      </x:c>
      <x:c r="AR23" s="28" t="str">
        <x:v>https://raw.githubusercontent.com/ZYDTR/truthinsightbench-dwf-scoring/main/runs/Chemistry_01_bond_enthalpy_domain/workspace/output/Result.md</x:v>
      </x:c>
      <x:c r="AS23" s="28" t="str">
        <x:v>待核验；暂不计入</x:v>
      </x:c>
    </x:row>
    <x:row r="24" ht="65" customHeight="1">
      <x:c r="A24" s="14" t="n">
        <x:v>19</x:v>
      </x:c>
      <x:c r="B24" s="14" t="str">
        <x:v>Chemistry_01_bond_enthalpy_domain</x:v>
      </x:c>
      <x:c r="C24" s="14" t="str">
        <x:v>F5</x:v>
      </x:c>
      <x:c r="D24" s="28" t="str">
        <x:v>弱键高估受选择效应影响但有残差</x:v>
      </x:c>
      <x:c r="E24" s="14" t="str">
        <x:v>G1</x:v>
      </x:c>
      <x:c r="F24" s="14" t="n">
        <x:v>0</x:v>
      </x:c>
      <x:c r="G24" s="36" t="n">
        <x:f>SUMPRODUCT(N24:AP24,$N$4:$AP$4)</x:f>
        <x:v>66.5</x:v>
      </x:c>
      <x:c r="H24" s="36" t="n">
        <x:f>SUMPRODUCT(N24:U24,$N$4:$U$4)</x:f>
        <x:v>32.5</x:v>
      </x:c>
      <x:c r="I24" s="36" t="n">
        <x:f>SUMPRODUCT(V24:Z24,$V$4:$Z$4)</x:f>
        <x:v>12</x:v>
      </x:c>
      <x:c r="J24" s="36" t="n">
        <x:f>SUMPRODUCT(AA24:AE24,$AA$4:$AE$4)</x:f>
        <x:v>13.5</x:v>
      </x:c>
      <x:c r="K24" s="36" t="n">
        <x:f>SUMPRODUCT(AF24:AI24,$AF$4:$AI$4)</x:f>
        <x:v>2</x:v>
      </x:c>
      <x:c r="L24" s="36" t="n">
        <x:f>SUMPRODUCT(AJ24:AK24,$AJ$4:$AK$4)</x:f>
        <x:v>4</x:v>
      </x:c>
      <x:c r="M24" s="36" t="n">
        <x:f>SUMPRODUCT(AL24:AP24,$AL$4:$AP$4)</x:f>
        <x:v>2.5</x:v>
      </x:c>
      <x:c r="N24" s="38" t="n">
        <x:v>0.5</x:v>
      </x:c>
      <x:c r="O24" s="38" t="n">
        <x:v>1</x:v>
      </x:c>
      <x:c r="P24" s="38" t="n">
        <x:v>0.5</x:v>
      </x:c>
      <x:c r="Q24" s="38" t="n">
        <x:v>1</x:v>
      </x:c>
      <x:c r="R24" s="38" t="n">
        <x:v>0.5</x:v>
      </x:c>
      <x:c r="S24" s="38" t="n">
        <x:v>0.5</x:v>
      </x:c>
      <x:c r="T24" s="38" t="n">
        <x:v>1</x:v>
      </x:c>
      <x:c r="U24" s="38" t="n">
        <x:v>1</x:v>
      </x:c>
      <x:c r="V24" s="38" t="n">
        <x:v>1</x:v>
      </x:c>
      <x:c r="W24" s="38" t="n">
        <x:v>0</x:v>
      </x:c>
      <x:c r="X24" s="38" t="n">
        <x:v>1</x:v>
      </x:c>
      <x:c r="Y24" s="38" t="n">
        <x:v>1</x:v>
      </x:c>
      <x:c r="Z24" s="38" t="n">
        <x:v>1</x:v>
      </x:c>
      <x:c r="AA24" s="38" t="n">
        <x:v>1</x:v>
      </x:c>
      <x:c r="AB24" s="38" t="n">
        <x:v>1</x:v>
      </x:c>
      <x:c r="AC24" s="38" t="n">
        <x:v>1</x:v>
      </x:c>
      <x:c r="AD24" s="38" t="n">
        <x:v>1</x:v>
      </x:c>
      <x:c r="AE24" s="38" t="n">
        <x:v>0.5</x:v>
      </x:c>
      <x:c r="AF24" s="38" t="n">
        <x:v>0.5</x:v>
      </x:c>
      <x:c r="AG24" s="38" t="n">
        <x:v>0</x:v>
      </x:c>
      <x:c r="AH24" s="38" t="n">
        <x:v>0</x:v>
      </x:c>
      <x:c r="AI24" s="38" t="n">
        <x:v>0.5</x:v>
      </x:c>
      <x:c r="AJ24" s="38" t="n">
        <x:v>1</x:v>
      </x:c>
      <x:c r="AK24" s="38" t="n">
        <x:v>0</x:v>
      </x:c>
      <x:c r="AL24" s="38" t="n">
        <x:v>1</x:v>
      </x:c>
      <x:c r="AM24" s="38" t="n">
        <x:v>0.5</x:v>
      </x:c>
      <x:c r="AN24" s="38" t="n">
        <x:v>1</x:v>
      </x:c>
      <x:c r="AO24" s="38" t="n">
        <x:v>0</x:v>
      </x:c>
      <x:c r="AP24" s="38" t="n">
        <x:v>0</x:v>
      </x:c>
      <x:c r="AQ24" s="28" t="str">
        <x:v>改用预测值分层后高估缩小约54%，分子聚类区间仍偏正；回归均值替代得到实际检验。</x:v>
      </x:c>
      <x:c r="AR24" s="28" t="str">
        <x:v>https://raw.githubusercontent.com/ZYDTR/truthinsightbench-dwf-scoring/main/runs/Chemistry_01_bond_enthalpy_domain/workspace/output/Result.md</x:v>
      </x:c>
      <x:c r="AS24" s="28" t="str">
        <x:v>待核验；暂不计入</x:v>
      </x:c>
    </x:row>
    <x:row r="25" ht="65" customHeight="1">
      <x:c r="A25" s="14" t="n">
        <x:v>20</x:v>
      </x:c>
      <x:c r="B25" s="14" t="str">
        <x:v>Chemistry_02_photoionization_delay</x:v>
      </x:c>
      <x:c r="C25" s="14" t="str">
        <x:v>F1</x:v>
      </x:c>
      <x:c r="D25" s="28" t="str">
        <x:v>实验复振幅的低阶角向结构</x:v>
      </x:c>
      <x:c r="E25" s="14" t="str">
        <x:v>G3</x:v>
      </x:c>
      <x:c r="F25" s="14" t="n">
        <x:v>0</x:v>
      </x:c>
      <x:c r="G25" s="36" t="n">
        <x:f>SUMPRODUCT(N25:AP25,$N$4:$AP$4)</x:f>
        <x:v>65</x:v>
      </x:c>
      <x:c r="H25" s="36" t="n">
        <x:f>SUMPRODUCT(N25:U25,$N$4:$U$4)</x:f>
        <x:v>28.5</x:v>
      </x:c>
      <x:c r="I25" s="36" t="n">
        <x:f>SUMPRODUCT(V25:Z25,$V$4:$Z$4)</x:f>
        <x:v>12</x:v>
      </x:c>
      <x:c r="J25" s="36" t="n">
        <x:f>SUMPRODUCT(AA25:AE25,$AA$4:$AE$4)</x:f>
        <x:v>13.5</x:v>
      </x:c>
      <x:c r="K25" s="36" t="n">
        <x:f>SUMPRODUCT(AF25:AI25,$AF$4:$AI$4)</x:f>
        <x:v>4</x:v>
      </x:c>
      <x:c r="L25" s="36" t="n">
        <x:f>SUMPRODUCT(AJ25:AK25,$AJ$4:$AK$4)</x:f>
        <x:v>4</x:v>
      </x:c>
      <x:c r="M25" s="36" t="n">
        <x:f>SUMPRODUCT(AL25:AP25,$AL$4:$AP$4)</x:f>
        <x:v>3</x:v>
      </x:c>
      <x:c r="N25" s="38" t="n">
        <x:v>0.5</x:v>
      </x:c>
      <x:c r="O25" s="38" t="n">
        <x:v>1</x:v>
      </x:c>
      <x:c r="P25" s="38" t="n">
        <x:v>0.5</x:v>
      </x:c>
      <x:c r="Q25" s="38" t="n">
        <x:v>1</x:v>
      </x:c>
      <x:c r="R25" s="38" t="n">
        <x:v>0.5</x:v>
      </x:c>
      <x:c r="S25" s="38" t="n">
        <x:v>0.5</x:v>
      </x:c>
      <x:c r="T25" s="38" t="n">
        <x:v>0.5</x:v>
      </x:c>
      <x:c r="U25" s="38" t="n">
        <x:v>1</x:v>
      </x:c>
      <x:c r="V25" s="38" t="n">
        <x:v>1</x:v>
      </x:c>
      <x:c r="W25" s="38" t="n">
        <x:v>0</x:v>
      </x:c>
      <x:c r="X25" s="38" t="n">
        <x:v>1</x:v>
      </x:c>
      <x:c r="Y25" s="38" t="n">
        <x:v>1</x:v>
      </x:c>
      <x:c r="Z25" s="38" t="n">
        <x:v>1</x:v>
      </x:c>
      <x:c r="AA25" s="38" t="n">
        <x:v>1</x:v>
      </x:c>
      <x:c r="AB25" s="38" t="n">
        <x:v>1</x:v>
      </x:c>
      <x:c r="AC25" s="38" t="n">
        <x:v>1</x:v>
      </x:c>
      <x:c r="AD25" s="38" t="n">
        <x:v>1</x:v>
      </x:c>
      <x:c r="AE25" s="38" t="n">
        <x:v>0.5</x:v>
      </x:c>
      <x:c r="AF25" s="38" t="n">
        <x:v>1</x:v>
      </x:c>
      <x:c r="AG25" s="38" t="n">
        <x:v>0</x:v>
      </x:c>
      <x:c r="AH25" s="38" t="n">
        <x:v>0</x:v>
      </x:c>
      <x:c r="AI25" s="38" t="n">
        <x:v>1</x:v>
      </x:c>
      <x:c r="AJ25" s="38" t="n">
        <x:v>1</x:v>
      </x:c>
      <x:c r="AK25" s="38" t="n">
        <x:v>0</x:v>
      </x:c>
      <x:c r="AL25" s="38" t="n">
        <x:v>0.5</x:v>
      </x:c>
      <x:c r="AM25" s="38" t="n">
        <x:v>0.5</x:v>
      </x:c>
      <x:c r="AN25" s="38" t="n">
        <x:v>1</x:v>
      </x:c>
      <x:c r="AO25" s="38" t="n">
        <x:v>1</x:v>
      </x:c>
      <x:c r="AP25" s="38" t="n">
        <x:v>0</x:v>
      </x:c>
      <x:c r="AQ25" s="28" t="str">
        <x:v>低阶模型和留出角度检验充分；残差约9.56e-5并非数学意义的精确相等。</x:v>
      </x:c>
      <x:c r="AR25" s="28" t="str">
        <x:v>https://raw.githubusercontent.com/ZYDTR/truthinsightbench-dwf-scoring/main/runs/Chemistry_02_photoionization_delay/workspace/output/Result.md</x:v>
      </x:c>
      <x:c r="AS25" s="28" t="str">
        <x:v>待核验；暂不计入</x:v>
      </x:c>
    </x:row>
    <x:row r="26" ht="65" customHeight="1">
      <x:c r="A26" s="14" t="n">
        <x:v>21</x:v>
      </x:c>
      <x:c r="B26" s="14" t="str">
        <x:v>Chemistry_02_photoionization_delay</x:v>
      </x:c>
      <x:c r="C26" s="14" t="str">
        <x:v>F2</x:v>
      </x:c>
      <x:c r="D26" s="28" t="str">
        <x:v>理论角结构不能由简单映射解释</x:v>
      </x:c>
      <x:c r="E26" s="14" t="str">
        <x:v>G4</x:v>
      </x:c>
      <x:c r="F26" s="14" t="n">
        <x:v>0</x:v>
      </x:c>
      <x:c r="G26" s="36" t="n">
        <x:f>SUMPRODUCT(N26:AP26,$N$4:$AP$4)</x:f>
        <x:v>61.5</x:v>
      </x:c>
      <x:c r="H26" s="36" t="n">
        <x:f>SUMPRODUCT(N26:U26,$N$4:$U$4)</x:f>
        <x:v>28.5</x:v>
      </x:c>
      <x:c r="I26" s="36" t="n">
        <x:f>SUMPRODUCT(V26:Z26,$V$4:$Z$4)</x:f>
        <x:v>10.5</x:v>
      </x:c>
      <x:c r="J26" s="36" t="n">
        <x:f>SUMPRODUCT(AA26:AE26,$AA$4:$AE$4)</x:f>
        <x:v>13.5</x:v>
      </x:c>
      <x:c r="K26" s="36" t="n">
        <x:f>SUMPRODUCT(AF26:AI26,$AF$4:$AI$4)</x:f>
        <x:v>2</x:v>
      </x:c>
      <x:c r="L26" s="36" t="n">
        <x:f>SUMPRODUCT(AJ26:AK26,$AJ$4:$AK$4)</x:f>
        <x:v>4</x:v>
      </x:c>
      <x:c r="M26" s="36" t="n">
        <x:f>SUMPRODUCT(AL26:AP26,$AL$4:$AP$4)</x:f>
        <x:v>3</x:v>
      </x:c>
      <x:c r="N26" s="38" t="n">
        <x:v>0.5</x:v>
      </x:c>
      <x:c r="O26" s="38" t="n">
        <x:v>1</x:v>
      </x:c>
      <x:c r="P26" s="38" t="n">
        <x:v>0.5</x:v>
      </x:c>
      <x:c r="Q26" s="38" t="n">
        <x:v>1</x:v>
      </x:c>
      <x:c r="R26" s="38" t="n">
        <x:v>0.5</x:v>
      </x:c>
      <x:c r="S26" s="38" t="n">
        <x:v>0.5</x:v>
      </x:c>
      <x:c r="T26" s="38" t="n">
        <x:v>0.5</x:v>
      </x:c>
      <x:c r="U26" s="38" t="n">
        <x:v>1</x:v>
      </x:c>
      <x:c r="V26" s="38" t="n">
        <x:v>0.5</x:v>
      </x:c>
      <x:c r="W26" s="38" t="n">
        <x:v>0</x:v>
      </x:c>
      <x:c r="X26" s="38" t="n">
        <x:v>1</x:v>
      </x:c>
      <x:c r="Y26" s="38" t="n">
        <x:v>1</x:v>
      </x:c>
      <x:c r="Z26" s="38" t="n">
        <x:v>1</x:v>
      </x:c>
      <x:c r="AA26" s="38" t="n">
        <x:v>1</x:v>
      </x:c>
      <x:c r="AB26" s="38" t="n">
        <x:v>1</x:v>
      </x:c>
      <x:c r="AC26" s="38" t="n">
        <x:v>1</x:v>
      </x:c>
      <x:c r="AD26" s="38" t="n">
        <x:v>1</x:v>
      </x:c>
      <x:c r="AE26" s="38" t="n">
        <x:v>0.5</x:v>
      </x:c>
      <x:c r="AF26" s="38" t="n">
        <x:v>0.5</x:v>
      </x:c>
      <x:c r="AG26" s="38" t="n">
        <x:v>0</x:v>
      </x:c>
      <x:c r="AH26" s="38" t="n">
        <x:v>0</x:v>
      </x:c>
      <x:c r="AI26" s="38" t="n">
        <x:v>0.5</x:v>
      </x:c>
      <x:c r="AJ26" s="38" t="n">
        <x:v>1</x:v>
      </x:c>
      <x:c r="AK26" s="38" t="n">
        <x:v>0</x:v>
      </x:c>
      <x:c r="AL26" s="38" t="n">
        <x:v>0.5</x:v>
      </x:c>
      <x:c r="AM26" s="38" t="n">
        <x:v>0.5</x:v>
      </x:c>
      <x:c r="AN26" s="38" t="n">
        <x:v>1</x:v>
      </x:c>
      <x:c r="AO26" s="38" t="n">
        <x:v>1</x:v>
      </x:c>
      <x:c r="AP26" s="38" t="n">
        <x:v>0</x:v>
      </x:c>
      <x:c r="AQ26" s="28" t="str">
        <x:v>测试多种基底与匹配，保留匹配控制失败；degree20/22残差不同，精确阶数与Nyquist措辞过强。</x:v>
      </x:c>
      <x:c r="AR26" s="28" t="str">
        <x:v>https://raw.githubusercontent.com/ZYDTR/truthinsightbench-dwf-scoring/main/runs/Chemistry_02_photoionization_delay/workspace/output/Result.md</x:v>
      </x:c>
      <x:c r="AS26" s="28" t="str">
        <x:v>待核验；暂不计入</x:v>
      </x:c>
    </x:row>
    <x:row r="27" ht="65" customHeight="1">
      <x:c r="A27" s="14" t="n">
        <x:v>22</x:v>
      </x:c>
      <x:c r="B27" s="14" t="str">
        <x:v>Chemistry_02_photoionization_delay</x:v>
      </x:c>
      <x:c r="C27" s="14" t="str">
        <x:v>F3</x:v>
      </x:c>
      <x:c r="D27" s="28" t="str">
        <x:v>相位导数匹配半Wigner延迟约定</x:v>
      </x:c>
      <x:c r="E27" s="14" t="str">
        <x:v>G2</x:v>
      </x:c>
      <x:c r="F27" s="14" t="n">
        <x:v>0</x:v>
      </x:c>
      <x:c r="G27" s="36" t="n">
        <x:f>SUMPRODUCT(N27:AP27,$N$4:$AP$4)</x:f>
        <x:v>66.5</x:v>
      </x:c>
      <x:c r="H27" s="36" t="n">
        <x:f>SUMPRODUCT(N27:U27,$N$4:$U$4)</x:f>
        <x:v>32.5</x:v>
      </x:c>
      <x:c r="I27" s="36" t="n">
        <x:f>SUMPRODUCT(V27:Z27,$V$4:$Z$4)</x:f>
        <x:v>12</x:v>
      </x:c>
      <x:c r="J27" s="36" t="n">
        <x:f>SUMPRODUCT(AA27:AE27,$AA$4:$AE$4)</x:f>
        <x:v>13.5</x:v>
      </x:c>
      <x:c r="K27" s="36" t="n">
        <x:f>SUMPRODUCT(AF27:AI27,$AF$4:$AI$4)</x:f>
        <x:v>2</x:v>
      </x:c>
      <x:c r="L27" s="36" t="n">
        <x:f>SUMPRODUCT(AJ27:AK27,$AJ$4:$AK$4)</x:f>
        <x:v>4</x:v>
      </x:c>
      <x:c r="M27" s="36" t="n">
        <x:f>SUMPRODUCT(AL27:AP27,$AL$4:$AP$4)</x:f>
        <x:v>2.5</x:v>
      </x:c>
      <x:c r="N27" s="38" t="n">
        <x:v>0.5</x:v>
      </x:c>
      <x:c r="O27" s="38" t="n">
        <x:v>1</x:v>
      </x:c>
      <x:c r="P27" s="38" t="n">
        <x:v>0.5</x:v>
      </x:c>
      <x:c r="Q27" s="38" t="n">
        <x:v>1</x:v>
      </x:c>
      <x:c r="R27" s="38" t="n">
        <x:v>0.5</x:v>
      </x:c>
      <x:c r="S27" s="38" t="n">
        <x:v>0.5</x:v>
      </x:c>
      <x:c r="T27" s="38" t="n">
        <x:v>1</x:v>
      </x:c>
      <x:c r="U27" s="38" t="n">
        <x:v>1</x:v>
      </x:c>
      <x:c r="V27" s="38" t="n">
        <x:v>1</x:v>
      </x:c>
      <x:c r="W27" s="38" t="n">
        <x:v>0</x:v>
      </x:c>
      <x:c r="X27" s="38" t="n">
        <x:v>1</x:v>
      </x:c>
      <x:c r="Y27" s="38" t="n">
        <x:v>1</x:v>
      </x:c>
      <x:c r="Z27" s="38" t="n">
        <x:v>1</x:v>
      </x:c>
      <x:c r="AA27" s="38" t="n">
        <x:v>1</x:v>
      </x:c>
      <x:c r="AB27" s="38" t="n">
        <x:v>1</x:v>
      </x:c>
      <x:c r="AC27" s="38" t="n">
        <x:v>1</x:v>
      </x:c>
      <x:c r="AD27" s="38" t="n">
        <x:v>1</x:v>
      </x:c>
      <x:c r="AE27" s="38" t="n">
        <x:v>0.5</x:v>
      </x:c>
      <x:c r="AF27" s="38" t="n">
        <x:v>0.5</x:v>
      </x:c>
      <x:c r="AG27" s="38" t="n">
        <x:v>0</x:v>
      </x:c>
      <x:c r="AH27" s="38" t="n">
        <x:v>0</x:v>
      </x:c>
      <x:c r="AI27" s="38" t="n">
        <x:v>0.5</x:v>
      </x:c>
      <x:c r="AJ27" s="38" t="n">
        <x:v>1</x:v>
      </x:c>
      <x:c r="AK27" s="38" t="n">
        <x:v>0</x:v>
      </x:c>
      <x:c r="AL27" s="38" t="n">
        <x:v>1</x:v>
      </x:c>
      <x:c r="AM27" s="38" t="n">
        <x:v>0.5</x:v>
      </x:c>
      <x:c r="AN27" s="38" t="n">
        <x:v>1</x:v>
      </x:c>
      <x:c r="AO27" s="38" t="n">
        <x:v>0</x:v>
      </x:c>
      <x:c r="AP27" s="38" t="n">
        <x:v>0</x:v>
      </x:c>
      <x:c r="AQ27" s="28" t="str">
        <x:v>能量轴与系数二的竞争约定被显式比较；结论限定为给定数据的定义一致性。</x:v>
      </x:c>
      <x:c r="AR27" s="28" t="str">
        <x:v>https://raw.githubusercontent.com/ZYDTR/truthinsightbench-dwf-scoring/main/runs/Chemistry_02_photoionization_delay/workspace/output/Result.md</x:v>
      </x:c>
      <x:c r="AS27" s="28" t="str">
        <x:v>待核验；暂不计入</x:v>
      </x:c>
    </x:row>
    <x:row r="28" ht="65" customHeight="1">
      <x:c r="A28" s="14" t="n">
        <x:v>23</x:v>
      </x:c>
      <x:c r="B28" s="14" t="str">
        <x:v>Chemistry_02_photoionization_delay</x:v>
      </x:c>
      <x:c r="C28" s="14" t="str">
        <x:v>F4</x:v>
      </x:c>
      <x:c r="D28" s="28" t="str">
        <x:v>稠密曲线并非可见稀疏块的简单插值</x:v>
      </x:c>
      <x:c r="E28" s="14" t="str">
        <x:v>G1</x:v>
      </x:c>
      <x:c r="F28" s="14" t="n">
        <x:v>0</x:v>
      </x:c>
      <x:c r="G28" s="36" t="n">
        <x:f>SUMPRODUCT(N28:AP28,$N$4:$AP$4)</x:f>
        <x:v>67.5</x:v>
      </x:c>
      <x:c r="H28" s="36" t="n">
        <x:f>SUMPRODUCT(N28:U28,$N$4:$U$4)</x:f>
        <x:v>32.5</x:v>
      </x:c>
      <x:c r="I28" s="36" t="n">
        <x:f>SUMPRODUCT(V28:Z28,$V$4:$Z$4)</x:f>
        <x:v>10.5</x:v>
      </x:c>
      <x:c r="J28" s="36" t="n">
        <x:f>SUMPRODUCT(AA28:AE28,$AA$4:$AE$4)</x:f>
        <x:v>13.5</x:v>
      </x:c>
      <x:c r="K28" s="36" t="n">
        <x:f>SUMPRODUCT(AF28:AI28,$AF$4:$AI$4)</x:f>
        <x:v>4</x:v>
      </x:c>
      <x:c r="L28" s="36" t="n">
        <x:f>SUMPRODUCT(AJ28:AK28,$AJ$4:$AK$4)</x:f>
        <x:v>4</x:v>
      </x:c>
      <x:c r="M28" s="36" t="n">
        <x:f>SUMPRODUCT(AL28:AP28,$AL$4:$AP$4)</x:f>
        <x:v>3</x:v>
      </x:c>
      <x:c r="N28" s="38" t="n">
        <x:v>0.5</x:v>
      </x:c>
      <x:c r="O28" s="38" t="n">
        <x:v>1</x:v>
      </x:c>
      <x:c r="P28" s="38" t="n">
        <x:v>0.5</x:v>
      </x:c>
      <x:c r="Q28" s="38" t="n">
        <x:v>1</x:v>
      </x:c>
      <x:c r="R28" s="38" t="n">
        <x:v>0.5</x:v>
      </x:c>
      <x:c r="S28" s="38" t="n">
        <x:v>0.5</x:v>
      </x:c>
      <x:c r="T28" s="38" t="n">
        <x:v>1</x:v>
      </x:c>
      <x:c r="U28" s="38" t="n">
        <x:v>1</x:v>
      </x:c>
      <x:c r="V28" s="38" t="n">
        <x:v>0.5</x:v>
      </x:c>
      <x:c r="W28" s="38" t="n">
        <x:v>0</x:v>
      </x:c>
      <x:c r="X28" s="38" t="n">
        <x:v>1</x:v>
      </x:c>
      <x:c r="Y28" s="38" t="n">
        <x:v>1</x:v>
      </x:c>
      <x:c r="Z28" s="38" t="n">
        <x:v>1</x:v>
      </x:c>
      <x:c r="AA28" s="38" t="n">
        <x:v>1</x:v>
      </x:c>
      <x:c r="AB28" s="38" t="n">
        <x:v>1</x:v>
      </x:c>
      <x:c r="AC28" s="38" t="n">
        <x:v>1</x:v>
      </x:c>
      <x:c r="AD28" s="38" t="n">
        <x:v>1</x:v>
      </x:c>
      <x:c r="AE28" s="38" t="n">
        <x:v>0.5</x:v>
      </x:c>
      <x:c r="AF28" s="38" t="n">
        <x:v>1</x:v>
      </x:c>
      <x:c r="AG28" s="38" t="n">
        <x:v>0</x:v>
      </x:c>
      <x:c r="AH28" s="38" t="n">
        <x:v>0</x:v>
      </x:c>
      <x:c r="AI28" s="38" t="n">
        <x:v>1</x:v>
      </x:c>
      <x:c r="AJ28" s="38" t="n">
        <x:v>1</x:v>
      </x:c>
      <x:c r="AK28" s="38" t="n">
        <x:v>0</x:v>
      </x:c>
      <x:c r="AL28" s="38" t="n">
        <x:v>0.5</x:v>
      </x:c>
      <x:c r="AM28" s="38" t="n">
        <x:v>0.5</x:v>
      </x:c>
      <x:c r="AN28" s="38" t="n">
        <x:v>1</x:v>
      </x:c>
      <x:c r="AO28" s="38" t="n">
        <x:v>1</x:v>
      </x:c>
      <x:c r="AP28" s="38" t="n">
        <x:v>0</x:v>
      </x:c>
      <x:c r="AQ28" s="28" t="str">
        <x:v>多种插值与能量偏移远大于舍入误差；只能排除已测试生成路径。</x:v>
      </x:c>
      <x:c r="AR28" s="28" t="str">
        <x:v>https://raw.githubusercontent.com/ZYDTR/truthinsightbench-dwf-scoring/main/runs/Chemistry_02_photoionization_delay/workspace/output/Result.md</x:v>
      </x:c>
      <x:c r="AS28" s="28" t="str">
        <x:v>待核验；暂不计入</x:v>
      </x:c>
    </x:row>
    <x:row r="29" ht="65" customHeight="1">
      <x:c r="A29" s="14" t="n">
        <x:v>24</x:v>
      </x:c>
      <x:c r="B29" s="14" t="str">
        <x:v>Chemistry_02_photoionization_delay</x:v>
      </x:c>
      <x:c r="C29" s="14" t="str">
        <x:v>F5</x:v>
      </x:c>
      <x:c r="D29" s="28" t="str">
        <x:v>实验—理论对应不具能量特异性；早先跨表示冲突来自求和顺序</x:v>
      </x:c>
      <x:c r="E29" s="14" t="str">
        <x:v>G5</x:v>
      </x:c>
      <x:c r="F29" s="14" t="n">
        <x:v>0</x:v>
      </x:c>
      <x:c r="G29" s="36" t="n">
        <x:f>SUMPRODUCT(N29:AP29,$N$4:$AP$4)</x:f>
        <x:v>60</x:v>
      </x:c>
      <x:c r="H29" s="36" t="n">
        <x:f>SUMPRODUCT(N29:U29,$N$4:$U$4)</x:f>
        <x:v>28.5</x:v>
      </x:c>
      <x:c r="I29" s="36" t="n">
        <x:f>SUMPRODUCT(V29:Z29,$V$4:$Z$4)</x:f>
        <x:v>10.5</x:v>
      </x:c>
      <x:c r="J29" s="36" t="n">
        <x:f>SUMPRODUCT(AA29:AE29,$AA$4:$AE$4)</x:f>
        <x:v>12</x:v>
      </x:c>
      <x:c r="K29" s="36" t="n">
        <x:f>SUMPRODUCT(AF29:AI29,$AF$4:$AI$4)</x:f>
        <x:v>2</x:v>
      </x:c>
      <x:c r="L29" s="36" t="n">
        <x:f>SUMPRODUCT(AJ29:AK29,$AJ$4:$AK$4)</x:f>
        <x:v>4</x:v>
      </x:c>
      <x:c r="M29" s="36" t="n">
        <x:f>SUMPRODUCT(AL29:AP29,$AL$4:$AP$4)</x:f>
        <x:v>3</x:v>
      </x:c>
      <x:c r="N29" s="38" t="n">
        <x:v>0.5</x:v>
      </x:c>
      <x:c r="O29" s="38" t="n">
        <x:v>1</x:v>
      </x:c>
      <x:c r="P29" s="38" t="n">
        <x:v>0.5</x:v>
      </x:c>
      <x:c r="Q29" s="38" t="n">
        <x:v>1</x:v>
      </x:c>
      <x:c r="R29" s="38" t="n">
        <x:v>0.5</x:v>
      </x:c>
      <x:c r="S29" s="38" t="n">
        <x:v>0.5</x:v>
      </x:c>
      <x:c r="T29" s="38" t="n">
        <x:v>0.5</x:v>
      </x:c>
      <x:c r="U29" s="38" t="n">
        <x:v>1</x:v>
      </x:c>
      <x:c r="V29" s="38" t="n">
        <x:v>0.5</x:v>
      </x:c>
      <x:c r="W29" s="38" t="n">
        <x:v>0</x:v>
      </x:c>
      <x:c r="X29" s="38" t="n">
        <x:v>1</x:v>
      </x:c>
      <x:c r="Y29" s="38" t="n">
        <x:v>1</x:v>
      </x:c>
      <x:c r="Z29" s="38" t="n">
        <x:v>1</x:v>
      </x:c>
      <x:c r="AA29" s="38" t="n">
        <x:v>1</x:v>
      </x:c>
      <x:c r="AB29" s="38" t="n">
        <x:v>0.5</x:v>
      </x:c>
      <x:c r="AC29" s="38" t="n">
        <x:v>1</x:v>
      </x:c>
      <x:c r="AD29" s="38" t="n">
        <x:v>1</x:v>
      </x:c>
      <x:c r="AE29" s="38" t="n">
        <x:v>0.5</x:v>
      </x:c>
      <x:c r="AF29" s="38" t="n">
        <x:v>0.5</x:v>
      </x:c>
      <x:c r="AG29" s="38" t="n">
        <x:v>0</x:v>
      </x:c>
      <x:c r="AH29" s="38" t="n">
        <x:v>0</x:v>
      </x:c>
      <x:c r="AI29" s="38" t="n">
        <x:v>0.5</x:v>
      </x:c>
      <x:c r="AJ29" s="38" t="n">
        <x:v>1</x:v>
      </x:c>
      <x:c r="AK29" s="38" t="n">
        <x:v>0</x:v>
      </x:c>
      <x:c r="AL29" s="38" t="n">
        <x:v>0.5</x:v>
      </x:c>
      <x:c r="AM29" s="38" t="n">
        <x:v>0.5</x:v>
      </x:c>
      <x:c r="AN29" s="38" t="n">
        <x:v>1</x:v>
      </x:c>
      <x:c r="AO29" s="38" t="n">
        <x:v>1</x:v>
      </x:c>
      <x:c r="AP29" s="38" t="n">
        <x:v>0</x:v>
      </x:c>
      <x:c r="AQ29" s="28" t="str">
        <x:v>修正复振幅与幅度/强度求和顺序后，原跨表示冲突撤回，按阶幅值对应仍成立；共同单调能量趋势尚未排除，因此不能把对应写成能量特异的机制验证或独立验证。</x:v>
      </x:c>
      <x:c r="AR29" s="28" t="str">
        <x:v>https://raw.githubusercontent.com/ZYDTR/truthinsightbench-dwf-scoring/main/runs/Chemistry_02_photoionization_delay/workspace/output/Result.md</x:v>
      </x:c>
      <x:c r="AS29" s="28" t="str">
        <x:v>待核验；暂不计入</x:v>
      </x:c>
    </x:row>
    <x:row r="30" ht="65" customHeight="1">
      <x:c r="A30" s="14" t="n">
        <x:v>25</x:v>
      </x:c>
      <x:c r="B30" s="14" t="str">
        <x:v>Chemistry_03_catalysis_response_landscape</x:v>
      </x:c>
      <x:c r="C30" s="14" t="str">
        <x:v>F1</x:v>
      </x:c>
      <x:c r="D30" s="28" t="str">
        <x:v>两块因子网格的主效应集中度不同</x:v>
      </x:c>
      <x:c r="E30" s="14" t="str">
        <x:v>G2</x:v>
      </x:c>
      <x:c r="F30" s="14" t="n">
        <x:v>0</x:v>
      </x:c>
      <x:c r="G30" s="36" t="n">
        <x:f>SUMPRODUCT(N30:AP30,$N$4:$AP$4)</x:f>
        <x:v>68.5</x:v>
      </x:c>
      <x:c r="H30" s="36" t="n">
        <x:f>SUMPRODUCT(N30:U30,$N$4:$U$4)</x:f>
        <x:v>32.5</x:v>
      </x:c>
      <x:c r="I30" s="36" t="n">
        <x:f>SUMPRODUCT(V30:Z30,$V$4:$Z$4)</x:f>
        <x:v>12</x:v>
      </x:c>
      <x:c r="J30" s="36" t="n">
        <x:f>SUMPRODUCT(AA30:AE30,$AA$4:$AE$4)</x:f>
        <x:v>13.5</x:v>
      </x:c>
      <x:c r="K30" s="36" t="n">
        <x:f>SUMPRODUCT(AF30:AI30,$AF$4:$AI$4)</x:f>
        <x:v>4</x:v>
      </x:c>
      <x:c r="L30" s="36" t="n">
        <x:f>SUMPRODUCT(AJ30:AK30,$AJ$4:$AK$4)</x:f>
        <x:v>4</x:v>
      </x:c>
      <x:c r="M30" s="36" t="n">
        <x:f>SUMPRODUCT(AL30:AP30,$AL$4:$AP$4)</x:f>
        <x:v>2.5</x:v>
      </x:c>
      <x:c r="N30" s="38" t="n">
        <x:v>0.5</x:v>
      </x:c>
      <x:c r="O30" s="38" t="n">
        <x:v>1</x:v>
      </x:c>
      <x:c r="P30" s="38" t="n">
        <x:v>0.5</x:v>
      </x:c>
      <x:c r="Q30" s="38" t="n">
        <x:v>1</x:v>
      </x:c>
      <x:c r="R30" s="38" t="n">
        <x:v>0.5</x:v>
      </x:c>
      <x:c r="S30" s="38" t="n">
        <x:v>0.5</x:v>
      </x:c>
      <x:c r="T30" s="38" t="n">
        <x:v>1</x:v>
      </x:c>
      <x:c r="U30" s="38" t="n">
        <x:v>1</x:v>
      </x:c>
      <x:c r="V30" s="38" t="n">
        <x:v>1</x:v>
      </x:c>
      <x:c r="W30" s="38" t="n">
        <x:v>0</x:v>
      </x:c>
      <x:c r="X30" s="38" t="n">
        <x:v>1</x:v>
      </x:c>
      <x:c r="Y30" s="38" t="n">
        <x:v>1</x:v>
      </x:c>
      <x:c r="Z30" s="38" t="n">
        <x:v>1</x:v>
      </x:c>
      <x:c r="AA30" s="38" t="n">
        <x:v>1</x:v>
      </x:c>
      <x:c r="AB30" s="38" t="n">
        <x:v>1</x:v>
      </x:c>
      <x:c r="AC30" s="38" t="n">
        <x:v>1</x:v>
      </x:c>
      <x:c r="AD30" s="38" t="n">
        <x:v>1</x:v>
      </x:c>
      <x:c r="AE30" s="38" t="n">
        <x:v>0.5</x:v>
      </x:c>
      <x:c r="AF30" s="38" t="n">
        <x:v>1</x:v>
      </x:c>
      <x:c r="AG30" s="38" t="n">
        <x:v>0</x:v>
      </x:c>
      <x:c r="AH30" s="38" t="n">
        <x:v>0</x:v>
      </x:c>
      <x:c r="AI30" s="38" t="n">
        <x:v>1</x:v>
      </x:c>
      <x:c r="AJ30" s="38" t="n">
        <x:v>1</x:v>
      </x:c>
      <x:c r="AK30" s="38" t="n">
        <x:v>0</x:v>
      </x:c>
      <x:c r="AL30" s="38" t="n">
        <x:v>1</x:v>
      </x:c>
      <x:c r="AM30" s="38" t="n">
        <x:v>0.5</x:v>
      </x:c>
      <x:c r="AN30" s="38" t="n">
        <x:v>1</x:v>
      </x:c>
      <x:c r="AO30" s="38" t="n">
        <x:v>0</x:v>
      </x:c>
      <x:c r="AP30" s="38" t="n">
        <x:v>0</x:v>
      </x:c>
      <x:c r="AQ30" s="28" t="str">
        <x:v>完整因子网格、删水平与留出误差支持结构差异；未重复设计不能估实验噪声。</x:v>
      </x:c>
      <x:c r="AR30" s="28" t="str">
        <x:v>https://raw.githubusercontent.com/ZYDTR/truthinsightbench-dwf-scoring/main/runs/Chemistry_03_catalysis_response_landscape/workspace/output/Result.md</x:v>
      </x:c>
      <x:c r="AS30" s="28" t="str">
        <x:v>待核验；暂不计入</x:v>
      </x:c>
    </x:row>
    <x:row r="31" ht="65" customHeight="1">
      <x:c r="A31" s="14" t="n">
        <x:v>26</x:v>
      </x:c>
      <x:c r="B31" s="14" t="str">
        <x:v>Chemistry_03_catalysis_response_landscape</x:v>
      </x:c>
      <x:c r="C31" s="14" t="str">
        <x:v>F2</x:v>
      </x:c>
      <x:c r="D31" s="28" t="str">
        <x:v>强因子效应不等于单调效应</x:v>
      </x:c>
      <x:c r="E31" s="14" t="str">
        <x:v>G1</x:v>
      </x:c>
      <x:c r="F31" s="14" t="n">
        <x:v>0</x:v>
      </x:c>
      <x:c r="G31" s="36" t="n">
        <x:f>SUMPRODUCT(N31:AP31,$N$4:$AP$4)</x:f>
        <x:v>69</x:v>
      </x:c>
      <x:c r="H31" s="36" t="n">
        <x:f>SUMPRODUCT(N31:U31,$N$4:$U$4)</x:f>
        <x:v>32.5</x:v>
      </x:c>
      <x:c r="I31" s="36" t="n">
        <x:f>SUMPRODUCT(V31:Z31,$V$4:$Z$4)</x:f>
        <x:v>12</x:v>
      </x:c>
      <x:c r="J31" s="36" t="n">
        <x:f>SUMPRODUCT(AA31:AE31,$AA$4:$AE$4)</x:f>
        <x:v>13.5</x:v>
      </x:c>
      <x:c r="K31" s="36" t="n">
        <x:f>SUMPRODUCT(AF31:AI31,$AF$4:$AI$4)</x:f>
        <x:v>4</x:v>
      </x:c>
      <x:c r="L31" s="36" t="n">
        <x:f>SUMPRODUCT(AJ31:AK31,$AJ$4:$AK$4)</x:f>
        <x:v>4</x:v>
      </x:c>
      <x:c r="M31" s="36" t="n">
        <x:f>SUMPRODUCT(AL31:AP31,$AL$4:$AP$4)</x:f>
        <x:v>3</x:v>
      </x:c>
      <x:c r="N31" s="38" t="n">
        <x:v>0.5</x:v>
      </x:c>
      <x:c r="O31" s="38" t="n">
        <x:v>1</x:v>
      </x:c>
      <x:c r="P31" s="38" t="n">
        <x:v>0.5</x:v>
      </x:c>
      <x:c r="Q31" s="38" t="n">
        <x:v>1</x:v>
      </x:c>
      <x:c r="R31" s="38" t="n">
        <x:v>0.5</x:v>
      </x:c>
      <x:c r="S31" s="38" t="n">
        <x:v>0.5</x:v>
      </x:c>
      <x:c r="T31" s="38" t="n">
        <x:v>1</x:v>
      </x:c>
      <x:c r="U31" s="38" t="n">
        <x:v>1</x:v>
      </x:c>
      <x:c r="V31" s="38" t="n">
        <x:v>1</x:v>
      </x:c>
      <x:c r="W31" s="38" t="n">
        <x:v>0</x:v>
      </x:c>
      <x:c r="X31" s="38" t="n">
        <x:v>1</x:v>
      </x:c>
      <x:c r="Y31" s="38" t="n">
        <x:v>1</x:v>
      </x:c>
      <x:c r="Z31" s="38" t="n">
        <x:v>1</x:v>
      </x:c>
      <x:c r="AA31" s="38" t="n">
        <x:v>1</x:v>
      </x:c>
      <x:c r="AB31" s="38" t="n">
        <x:v>1</x:v>
      </x:c>
      <x:c r="AC31" s="38" t="n">
        <x:v>1</x:v>
      </x:c>
      <x:c r="AD31" s="38" t="n">
        <x:v>1</x:v>
      </x:c>
      <x:c r="AE31" s="38" t="n">
        <x:v>0.5</x:v>
      </x:c>
      <x:c r="AF31" s="38" t="n">
        <x:v>1</x:v>
      </x:c>
      <x:c r="AG31" s="38" t="n">
        <x:v>0</x:v>
      </x:c>
      <x:c r="AH31" s="38" t="n">
        <x:v>0</x:v>
      </x:c>
      <x:c r="AI31" s="38" t="n">
        <x:v>1</x:v>
      </x:c>
      <x:c r="AJ31" s="38" t="n">
        <x:v>1</x:v>
      </x:c>
      <x:c r="AK31" s="38" t="n">
        <x:v>0</x:v>
      </x:c>
      <x:c r="AL31" s="38" t="n">
        <x:v>0.5</x:v>
      </x:c>
      <x:c r="AM31" s="38" t="n">
        <x:v>0.5</x:v>
      </x:c>
      <x:c r="AN31" s="38" t="n">
        <x:v>1</x:v>
      </x:c>
      <x:c r="AO31" s="38" t="n">
        <x:v>1</x:v>
      </x:c>
      <x:c r="AP31" s="38" t="n">
        <x:v>0</x:v>
      </x:c>
      <x:c r="AQ31" s="28" t="str">
        <x:v>线性、保序和类别基线比较区分幅度与顺序；分半稳定性支持非单调边界。</x:v>
      </x:c>
      <x:c r="AR31" s="28" t="str">
        <x:v>https://raw.githubusercontent.com/ZYDTR/truthinsightbench-dwf-scoring/main/runs/Chemistry_03_catalysis_response_landscape/workspace/output/Result.md</x:v>
      </x:c>
      <x:c r="AS31" s="28" t="str">
        <x:v>待核验；暂不计入</x:v>
      </x:c>
    </x:row>
    <x:row r="32" ht="65" customHeight="1">
      <x:c r="A32" s="14" t="n">
        <x:v>27</x:v>
      </x:c>
      <x:c r="B32" s="14" t="str">
        <x:v>Chemistry_03_catalysis_response_landscape</x:v>
      </x:c>
      <x:c r="C32" s="14" t="str">
        <x:v>F3</x:v>
      </x:c>
      <x:c r="D32" s="28" t="str">
        <x:v>归一化响应来自成对通道的代数比</x:v>
      </x:c>
      <x:c r="E32" s="14" t="str">
        <x:v>G5</x:v>
      </x:c>
      <x:c r="F32" s="14" t="n">
        <x:v>0</x:v>
      </x:c>
      <x:c r="G32" s="36" t="n">
        <x:f>SUMPRODUCT(N32:AP32,$N$4:$AP$4)</x:f>
        <x:v>65.5</x:v>
      </x:c>
      <x:c r="H32" s="36" t="n">
        <x:f>SUMPRODUCT(N32:U32,$N$4:$U$4)</x:f>
        <x:v>32.5</x:v>
      </x:c>
      <x:c r="I32" s="36" t="n">
        <x:f>SUMPRODUCT(V32:Z32,$V$4:$Z$4)</x:f>
        <x:v>10.5</x:v>
      </x:c>
      <x:c r="J32" s="36" t="n">
        <x:f>SUMPRODUCT(AA32:AE32,$AA$4:$AE$4)</x:f>
        <x:v>13.5</x:v>
      </x:c>
      <x:c r="K32" s="36" t="n">
        <x:f>SUMPRODUCT(AF32:AI32,$AF$4:$AI$4)</x:f>
        <x:v>2</x:v>
      </x:c>
      <x:c r="L32" s="36" t="n">
        <x:f>SUMPRODUCT(AJ32:AK32,$AJ$4:$AK$4)</x:f>
        <x:v>4</x:v>
      </x:c>
      <x:c r="M32" s="36" t="n">
        <x:f>SUMPRODUCT(AL32:AP32,$AL$4:$AP$4)</x:f>
        <x:v>3</x:v>
      </x:c>
      <x:c r="N32" s="38" t="n">
        <x:v>0.5</x:v>
      </x:c>
      <x:c r="O32" s="38" t="n">
        <x:v>1</x:v>
      </x:c>
      <x:c r="P32" s="38" t="n">
        <x:v>0.5</x:v>
      </x:c>
      <x:c r="Q32" s="38" t="n">
        <x:v>1</x:v>
      </x:c>
      <x:c r="R32" s="38" t="n">
        <x:v>0.5</x:v>
      </x:c>
      <x:c r="S32" s="38" t="n">
        <x:v>0.5</x:v>
      </x:c>
      <x:c r="T32" s="38" t="n">
        <x:v>1</x:v>
      </x:c>
      <x:c r="U32" s="38" t="n">
        <x:v>1</x:v>
      </x:c>
      <x:c r="V32" s="38" t="n">
        <x:v>0.5</x:v>
      </x:c>
      <x:c r="W32" s="38" t="n">
        <x:v>0</x:v>
      </x:c>
      <x:c r="X32" s="38" t="n">
        <x:v>1</x:v>
      </x:c>
      <x:c r="Y32" s="38" t="n">
        <x:v>1</x:v>
      </x:c>
      <x:c r="Z32" s="38" t="n">
        <x:v>1</x:v>
      </x:c>
      <x:c r="AA32" s="38" t="n">
        <x:v>1</x:v>
      </x:c>
      <x:c r="AB32" s="38" t="n">
        <x:v>1</x:v>
      </x:c>
      <x:c r="AC32" s="38" t="n">
        <x:v>1</x:v>
      </x:c>
      <x:c r="AD32" s="38" t="n">
        <x:v>1</x:v>
      </x:c>
      <x:c r="AE32" s="38" t="n">
        <x:v>0.5</x:v>
      </x:c>
      <x:c r="AF32" s="38" t="n">
        <x:v>0.5</x:v>
      </x:c>
      <x:c r="AG32" s="38" t="n">
        <x:v>0</x:v>
      </x:c>
      <x:c r="AH32" s="38" t="n">
        <x:v>0</x:v>
      </x:c>
      <x:c r="AI32" s="38" t="n">
        <x:v>0.5</x:v>
      </x:c>
      <x:c r="AJ32" s="38" t="n">
        <x:v>1</x:v>
      </x:c>
      <x:c r="AK32" s="38" t="n">
        <x:v>0</x:v>
      </x:c>
      <x:c r="AL32" s="38" t="n">
        <x:v>0.5</x:v>
      </x:c>
      <x:c r="AM32" s="38" t="n">
        <x:v>0.5</x:v>
      </x:c>
      <x:c r="AN32" s="38" t="n">
        <x:v>1</x:v>
      </x:c>
      <x:c r="AO32" s="38" t="n">
        <x:v>1</x:v>
      </x:c>
      <x:c r="AP32" s="38" t="n">
        <x:v>0</x:v>
      </x:c>
      <x:c r="AQ32" s="28" t="str">
        <x:v>(B−A)/(B+A)匹配两块数据，并比较A/B等替代；是代数结构而非新增机制。</x:v>
      </x:c>
      <x:c r="AR32" s="28" t="str">
        <x:v>https://raw.githubusercontent.com/ZYDTR/truthinsightbench-dwf-scoring/main/runs/Chemistry_03_catalysis_response_landscape/workspace/output/Result.md</x:v>
      </x:c>
      <x:c r="AS32" s="28" t="str">
        <x:v>待核验；暂不计入</x:v>
      </x:c>
    </x:row>
    <x:row r="33" ht="65" customHeight="1">
      <x:c r="A33" s="14" t="n">
        <x:v>28</x:v>
      </x:c>
      <x:c r="B33" s="14" t="str">
        <x:v>Chemistry_03_catalysis_response_landscape</x:v>
      </x:c>
      <x:c r="C33" s="14" t="str">
        <x:v>F4</x:v>
      </x:c>
      <x:c r="D33" s="28" t="str">
        <x:v>面板间转移仅在局部成立</x:v>
      </x:c>
      <x:c r="E33" s="14" t="str">
        <x:v>G3</x:v>
      </x:c>
      <x:c r="F33" s="14" t="n">
        <x:v>0</x:v>
      </x:c>
      <x:c r="G33" s="36" t="n">
        <x:f>SUMPRODUCT(N33:AP33,$N$4:$AP$4)</x:f>
        <x:v>68.5</x:v>
      </x:c>
      <x:c r="H33" s="36" t="n">
        <x:f>SUMPRODUCT(N33:U33,$N$4:$U$4)</x:f>
        <x:v>32.5</x:v>
      </x:c>
      <x:c r="I33" s="36" t="n">
        <x:f>SUMPRODUCT(V33:Z33,$V$4:$Z$4)</x:f>
        <x:v>12</x:v>
      </x:c>
      <x:c r="J33" s="36" t="n">
        <x:f>SUMPRODUCT(AA33:AE33,$AA$4:$AE$4)</x:f>
        <x:v>13.5</x:v>
      </x:c>
      <x:c r="K33" s="36" t="n">
        <x:f>SUMPRODUCT(AF33:AI33,$AF$4:$AI$4)</x:f>
        <x:v>4</x:v>
      </x:c>
      <x:c r="L33" s="36" t="n">
        <x:f>SUMPRODUCT(AJ33:AK33,$AJ$4:$AK$4)</x:f>
        <x:v>4</x:v>
      </x:c>
      <x:c r="M33" s="36" t="n">
        <x:f>SUMPRODUCT(AL33:AP33,$AL$4:$AP$4)</x:f>
        <x:v>2.5</x:v>
      </x:c>
      <x:c r="N33" s="38" t="n">
        <x:v>0.5</x:v>
      </x:c>
      <x:c r="O33" s="38" t="n">
        <x:v>1</x:v>
      </x:c>
      <x:c r="P33" s="38" t="n">
        <x:v>0.5</x:v>
      </x:c>
      <x:c r="Q33" s="38" t="n">
        <x:v>1</x:v>
      </x:c>
      <x:c r="R33" s="38" t="n">
        <x:v>0.5</x:v>
      </x:c>
      <x:c r="S33" s="38" t="n">
        <x:v>0.5</x:v>
      </x:c>
      <x:c r="T33" s="38" t="n">
        <x:v>1</x:v>
      </x:c>
      <x:c r="U33" s="38" t="n">
        <x:v>1</x:v>
      </x:c>
      <x:c r="V33" s="38" t="n">
        <x:v>1</x:v>
      </x:c>
      <x:c r="W33" s="38" t="n">
        <x:v>0</x:v>
      </x:c>
      <x:c r="X33" s="38" t="n">
        <x:v>1</x:v>
      </x:c>
      <x:c r="Y33" s="38" t="n">
        <x:v>1</x:v>
      </x:c>
      <x:c r="Z33" s="38" t="n">
        <x:v>1</x:v>
      </x:c>
      <x:c r="AA33" s="38" t="n">
        <x:v>1</x:v>
      </x:c>
      <x:c r="AB33" s="38" t="n">
        <x:v>1</x:v>
      </x:c>
      <x:c r="AC33" s="38" t="n">
        <x:v>1</x:v>
      </x:c>
      <x:c r="AD33" s="38" t="n">
        <x:v>1</x:v>
      </x:c>
      <x:c r="AE33" s="38" t="n">
        <x:v>0.5</x:v>
      </x:c>
      <x:c r="AF33" s="38" t="n">
        <x:v>1</x:v>
      </x:c>
      <x:c r="AG33" s="38" t="n">
        <x:v>0</x:v>
      </x:c>
      <x:c r="AH33" s="38" t="n">
        <x:v>0</x:v>
      </x:c>
      <x:c r="AI33" s="38" t="n">
        <x:v>1</x:v>
      </x:c>
      <x:c r="AJ33" s="38" t="n">
        <x:v>1</x:v>
      </x:c>
      <x:c r="AK33" s="38" t="n">
        <x:v>0</x:v>
      </x:c>
      <x:c r="AL33" s="38" t="n">
        <x:v>1</x:v>
      </x:c>
      <x:c r="AM33" s="38" t="n">
        <x:v>0.5</x:v>
      </x:c>
      <x:c r="AN33" s="38" t="n">
        <x:v>1</x:v>
      </x:c>
      <x:c r="AO33" s="38" t="n">
        <x:v>0</x:v>
      </x:c>
      <x:c r="AP33" s="38" t="n">
        <x:v>0</x:v>
      </x:c>
      <x:c r="AQ33" s="28" t="str">
        <x:v>独立面板预测与常数基线比较，明确部分指标失败；强相关不保证较低预测误差。</x:v>
      </x:c>
      <x:c r="AR33" s="28" t="str">
        <x:v>https://raw.githubusercontent.com/ZYDTR/truthinsightbench-dwf-scoring/main/runs/Chemistry_03_catalysis_response_landscape/workspace/output/Result.md</x:v>
      </x:c>
      <x:c r="AS33" s="28" t="str">
        <x:v>待核验；暂不计入</x:v>
      </x:c>
    </x:row>
    <x:row r="34" ht="65" customHeight="1">
      <x:c r="A34" s="14" t="n">
        <x:v>29</x:v>
      </x:c>
      <x:c r="B34" s="14" t="str">
        <x:v>Chemistry_03_catalysis_response_landscape</x:v>
      </x:c>
      <x:c r="C34" s="14" t="str">
        <x:v>F5</x:v>
      </x:c>
      <x:c r="D34" s="28" t="str">
        <x:v>成对读数比例差异与测量误差边界</x:v>
      </x:c>
      <x:c r="E34" s="14" t="str">
        <x:v>G4</x:v>
      </x:c>
      <x:c r="F34" s="14" t="n">
        <x:v>0</x:v>
      </x:c>
      <x:c r="G34" s="36" t="n">
        <x:f>SUMPRODUCT(N34:AP34,$N$4:$AP$4)</x:f>
        <x:v>66.5</x:v>
      </x:c>
      <x:c r="H34" s="36" t="n">
        <x:f>SUMPRODUCT(N34:U34,$N$4:$U$4)</x:f>
        <x:v>32.5</x:v>
      </x:c>
      <x:c r="I34" s="36" t="n">
        <x:f>SUMPRODUCT(V34:Z34,$V$4:$Z$4)</x:f>
        <x:v>12</x:v>
      </x:c>
      <x:c r="J34" s="36" t="n">
        <x:f>SUMPRODUCT(AA34:AE34,$AA$4:$AE$4)</x:f>
        <x:v>13.5</x:v>
      </x:c>
      <x:c r="K34" s="36" t="n">
        <x:f>SUMPRODUCT(AF34:AI34,$AF$4:$AI$4)</x:f>
        <x:v>2</x:v>
      </x:c>
      <x:c r="L34" s="36" t="n">
        <x:f>SUMPRODUCT(AJ34:AK34,$AJ$4:$AK$4)</x:f>
        <x:v>4</x:v>
      </x:c>
      <x:c r="M34" s="36" t="n">
        <x:f>SUMPRODUCT(AL34:AP34,$AL$4:$AP$4)</x:f>
        <x:v>2.5</x:v>
      </x:c>
      <x:c r="N34" s="38" t="n">
        <x:v>0.5</x:v>
      </x:c>
      <x:c r="O34" s="38" t="n">
        <x:v>1</x:v>
      </x:c>
      <x:c r="P34" s="38" t="n">
        <x:v>0.5</x:v>
      </x:c>
      <x:c r="Q34" s="38" t="n">
        <x:v>1</x:v>
      </x:c>
      <x:c r="R34" s="38" t="n">
        <x:v>0.5</x:v>
      </x:c>
      <x:c r="S34" s="38" t="n">
        <x:v>0.5</x:v>
      </x:c>
      <x:c r="T34" s="38" t="n">
        <x:v>1</x:v>
      </x:c>
      <x:c r="U34" s="38" t="n">
        <x:v>1</x:v>
      </x:c>
      <x:c r="V34" s="38" t="n">
        <x:v>1</x:v>
      </x:c>
      <x:c r="W34" s="38" t="n">
        <x:v>0</x:v>
      </x:c>
      <x:c r="X34" s="38" t="n">
        <x:v>1</x:v>
      </x:c>
      <x:c r="Y34" s="38" t="n">
        <x:v>1</x:v>
      </x:c>
      <x:c r="Z34" s="38" t="n">
        <x:v>1</x:v>
      </x:c>
      <x:c r="AA34" s="38" t="n">
        <x:v>1</x:v>
      </x:c>
      <x:c r="AB34" s="38" t="n">
        <x:v>1</x:v>
      </x:c>
      <x:c r="AC34" s="38" t="n">
        <x:v>1</x:v>
      </x:c>
      <x:c r="AD34" s="38" t="n">
        <x:v>1</x:v>
      </x:c>
      <x:c r="AE34" s="38" t="n">
        <x:v>0.5</x:v>
      </x:c>
      <x:c r="AF34" s="38" t="n">
        <x:v>0.5</x:v>
      </x:c>
      <x:c r="AG34" s="38" t="n">
        <x:v>0</x:v>
      </x:c>
      <x:c r="AH34" s="38" t="n">
        <x:v>0</x:v>
      </x:c>
      <x:c r="AI34" s="38" t="n">
        <x:v>0.5</x:v>
      </x:c>
      <x:c r="AJ34" s="38" t="n">
        <x:v>1</x:v>
      </x:c>
      <x:c r="AK34" s="38" t="n">
        <x:v>0</x:v>
      </x:c>
      <x:c r="AL34" s="38" t="n">
        <x:v>1</x:v>
      </x:c>
      <x:c r="AM34" s="38" t="n">
        <x:v>0.5</x:v>
      </x:c>
      <x:c r="AN34" s="38" t="n">
        <x:v>1</x:v>
      </x:c>
      <x:c r="AO34" s="38" t="n">
        <x:v>0</x:v>
      </x:c>
      <x:c r="AP34" s="38" t="n">
        <x:v>0</x:v>
      </x:c>
      <x:c r="AQ34" s="28" t="str">
        <x:v>普通和分块估计均低于1；误差变量修正已纠正，仍不能把共同噪声当独立重复。</x:v>
      </x:c>
      <x:c r="AR34" s="28" t="str">
        <x:v>https://raw.githubusercontent.com/ZYDTR/truthinsightbench-dwf-scoring/main/runs/Chemistry_03_catalysis_response_landscape/workspace/output/Result.md</x:v>
      </x:c>
      <x:c r="AS34" s="28" t="str">
        <x:v>待核验；暂不计入</x:v>
      </x:c>
    </x:row>
    <x:row r="35" ht="65" customHeight="1">
      <x:c r="A35" s="14" t="n">
        <x:v>30</x:v>
      </x:c>
      <x:c r="B35" s="14" t="str">
        <x:v>EarthScience_01_glacial_fluvial_erosion</x:v>
      </x:c>
      <x:c r="C35" s="14" t="str">
        <x:v>F1</x:v>
      </x:c>
      <x:c r="D35" s="28" t="str">
        <x:v>宇宙成因率与时间乘积近固定厚度</x:v>
      </x:c>
      <x:c r="E35" s="14" t="str">
        <x:v>G1</x:v>
      </x:c>
      <x:c r="F35" s="14" t="n">
        <x:v>0</x:v>
      </x:c>
      <x:c r="G35" s="36" t="n">
        <x:f>SUMPRODUCT(N35:AP35,$N$4:$AP$4)</x:f>
        <x:v>66.5</x:v>
      </x:c>
      <x:c r="H35" s="36" t="n">
        <x:f>SUMPRODUCT(N35:U35,$N$4:$U$4)</x:f>
        <x:v>32.5</x:v>
      </x:c>
      <x:c r="I35" s="36" t="n">
        <x:f>SUMPRODUCT(V35:Z35,$V$4:$Z$4)</x:f>
        <x:v>12</x:v>
      </x:c>
      <x:c r="J35" s="36" t="n">
        <x:f>SUMPRODUCT(AA35:AE35,$AA$4:$AE$4)</x:f>
        <x:v>13.5</x:v>
      </x:c>
      <x:c r="K35" s="36" t="n">
        <x:f>SUMPRODUCT(AF35:AI35,$AF$4:$AI$4)</x:f>
        <x:v>2</x:v>
      </x:c>
      <x:c r="L35" s="36" t="n">
        <x:f>SUMPRODUCT(AJ35:AK35,$AJ$4:$AK$4)</x:f>
        <x:v>4</x:v>
      </x:c>
      <x:c r="M35" s="36" t="n">
        <x:f>SUMPRODUCT(AL35:AP35,$AL$4:$AP$4)</x:f>
        <x:v>2.5</x:v>
      </x:c>
      <x:c r="N35" s="38" t="n">
        <x:v>0.5</x:v>
      </x:c>
      <x:c r="O35" s="38" t="n">
        <x:v>1</x:v>
      </x:c>
      <x:c r="P35" s="38" t="n">
        <x:v>0.5</x:v>
      </x:c>
      <x:c r="Q35" s="38" t="n">
        <x:v>1</x:v>
      </x:c>
      <x:c r="R35" s="38" t="n">
        <x:v>0.5</x:v>
      </x:c>
      <x:c r="S35" s="38" t="n">
        <x:v>0.5</x:v>
      </x:c>
      <x:c r="T35" s="38" t="n">
        <x:v>1</x:v>
      </x:c>
      <x:c r="U35" s="38" t="n">
        <x:v>1</x:v>
      </x:c>
      <x:c r="V35" s="38" t="n">
        <x:v>1</x:v>
      </x:c>
      <x:c r="W35" s="38" t="n">
        <x:v>0</x:v>
      </x:c>
      <x:c r="X35" s="38" t="n">
        <x:v>1</x:v>
      </x:c>
      <x:c r="Y35" s="38" t="n">
        <x:v>1</x:v>
      </x:c>
      <x:c r="Z35" s="38" t="n">
        <x:v>1</x:v>
      </x:c>
      <x:c r="AA35" s="38" t="n">
        <x:v>1</x:v>
      </x:c>
      <x:c r="AB35" s="38" t="n">
        <x:v>1</x:v>
      </x:c>
      <x:c r="AC35" s="38" t="n">
        <x:v>1</x:v>
      </x:c>
      <x:c r="AD35" s="38" t="n">
        <x:v>1</x:v>
      </x:c>
      <x:c r="AE35" s="38" t="n">
        <x:v>0.5</x:v>
      </x:c>
      <x:c r="AF35" s="38" t="n">
        <x:v>0.5</x:v>
      </x:c>
      <x:c r="AG35" s="38" t="n">
        <x:v>0</x:v>
      </x:c>
      <x:c r="AH35" s="38" t="n">
        <x:v>0</x:v>
      </x:c>
      <x:c r="AI35" s="38" t="n">
        <x:v>0.5</x:v>
      </x:c>
      <x:c r="AJ35" s="38" t="n">
        <x:v>1</x:v>
      </x:c>
      <x:c r="AK35" s="38" t="n">
        <x:v>0</x:v>
      </x:c>
      <x:c r="AL35" s="38" t="n">
        <x:v>1</x:v>
      </x:c>
      <x:c r="AM35" s="38" t="n">
        <x:v>0.5</x:v>
      </x:c>
      <x:c r="AN35" s="38" t="n">
        <x:v>1</x:v>
      </x:c>
      <x:c r="AO35" s="38" t="n">
        <x:v>0</x:v>
      </x:c>
      <x:c r="AP35" s="38" t="n">
        <x:v>0</x:v>
      </x:c>
      <x:c r="AQ35" s="28" t="str">
        <x:v>重建原始量、研究级斜率与单位检查支持定义耦合；子集和总体的厚度统计不可替换。</x:v>
      </x:c>
      <x:c r="AR35" s="28" t="str">
        <x:v>https://raw.githubusercontent.com/ZYDTR/truthinsightbench-dwf-scoring/main/runs/EarthScience_01_glacial_fluvial_erosion/workspace/output/Result.md</x:v>
      </x:c>
      <x:c r="AS35" s="28" t="str">
        <x:v>待核验；暂不计入</x:v>
      </x:c>
    </x:row>
    <x:row r="36" ht="65" customHeight="1">
      <x:c r="A36" s="14" t="n">
        <x:v>31</x:v>
      </x:c>
      <x:c r="B36" s="14" t="str">
        <x:v>EarthScience_01_glacial_fluvial_erosion</x:v>
      </x:c>
      <x:c r="C36" s="14" t="str">
        <x:v>F2</x:v>
      </x:c>
      <x:c r="D36" s="28" t="str">
        <x:v>去掉乘积约束后时间趋势不稳健</x:v>
      </x:c>
      <x:c r="E36" s="14" t="str">
        <x:v>G2</x:v>
      </x:c>
      <x:c r="F36" s="14" t="n">
        <x:v>0</x:v>
      </x:c>
      <x:c r="G36" s="36" t="n">
        <x:f>SUMPRODUCT(N36:AP36,$N$4:$AP$4)</x:f>
        <x:v>66.5</x:v>
      </x:c>
      <x:c r="H36" s="36" t="n">
        <x:f>SUMPRODUCT(N36:U36,$N$4:$U$4)</x:f>
        <x:v>32.5</x:v>
      </x:c>
      <x:c r="I36" s="36" t="n">
        <x:f>SUMPRODUCT(V36:Z36,$V$4:$Z$4)</x:f>
        <x:v>12</x:v>
      </x:c>
      <x:c r="J36" s="36" t="n">
        <x:f>SUMPRODUCT(AA36:AE36,$AA$4:$AE$4)</x:f>
        <x:v>13.5</x:v>
      </x:c>
      <x:c r="K36" s="36" t="n">
        <x:f>SUMPRODUCT(AF36:AI36,$AF$4:$AI$4)</x:f>
        <x:v>2</x:v>
      </x:c>
      <x:c r="L36" s="36" t="n">
        <x:f>SUMPRODUCT(AJ36:AK36,$AJ$4:$AK$4)</x:f>
        <x:v>4</x:v>
      </x:c>
      <x:c r="M36" s="36" t="n">
        <x:f>SUMPRODUCT(AL36:AP36,$AL$4:$AP$4)</x:f>
        <x:v>2.5</x:v>
      </x:c>
      <x:c r="N36" s="38" t="n">
        <x:v>0.5</x:v>
      </x:c>
      <x:c r="O36" s="38" t="n">
        <x:v>1</x:v>
      </x:c>
      <x:c r="P36" s="38" t="n">
        <x:v>0.5</x:v>
      </x:c>
      <x:c r="Q36" s="38" t="n">
        <x:v>1</x:v>
      </x:c>
      <x:c r="R36" s="38" t="n">
        <x:v>0.5</x:v>
      </x:c>
      <x:c r="S36" s="38" t="n">
        <x:v>0.5</x:v>
      </x:c>
      <x:c r="T36" s="38" t="n">
        <x:v>1</x:v>
      </x:c>
      <x:c r="U36" s="38" t="n">
        <x:v>1</x:v>
      </x:c>
      <x:c r="V36" s="38" t="n">
        <x:v>1</x:v>
      </x:c>
      <x:c r="W36" s="38" t="n">
        <x:v>0</x:v>
      </x:c>
      <x:c r="X36" s="38" t="n">
        <x:v>1</x:v>
      </x:c>
      <x:c r="Y36" s="38" t="n">
        <x:v>1</x:v>
      </x:c>
      <x:c r="Z36" s="38" t="n">
        <x:v>1</x:v>
      </x:c>
      <x:c r="AA36" s="38" t="n">
        <x:v>1</x:v>
      </x:c>
      <x:c r="AB36" s="38" t="n">
        <x:v>1</x:v>
      </x:c>
      <x:c r="AC36" s="38" t="n">
        <x:v>1</x:v>
      </x:c>
      <x:c r="AD36" s="38" t="n">
        <x:v>1</x:v>
      </x:c>
      <x:c r="AE36" s="38" t="n">
        <x:v>0.5</x:v>
      </x:c>
      <x:c r="AF36" s="38" t="n">
        <x:v>0.5</x:v>
      </x:c>
      <x:c r="AG36" s="38" t="n">
        <x:v>0</x:v>
      </x:c>
      <x:c r="AH36" s="38" t="n">
        <x:v>0</x:v>
      </x:c>
      <x:c r="AI36" s="38" t="n">
        <x:v>0.5</x:v>
      </x:c>
      <x:c r="AJ36" s="38" t="n">
        <x:v>1</x:v>
      </x:c>
      <x:c r="AK36" s="38" t="n">
        <x:v>0</x:v>
      </x:c>
      <x:c r="AL36" s="38" t="n">
        <x:v>1</x:v>
      </x:c>
      <x:c r="AM36" s="38" t="n">
        <x:v>0.5</x:v>
      </x:c>
      <x:c r="AN36" s="38" t="n">
        <x:v>1</x:v>
      </x:c>
      <x:c r="AO36" s="38" t="n">
        <x:v>0</x:v>
      </x:c>
      <x:c r="AP36" s="38" t="n">
        <x:v>0</x:v>
      </x:c>
      <x:c r="AQ36" s="28" t="str">
        <x:v>研究聚类后区间跨零，与逐行显著性不同；有力界定伪独立的影响。</x:v>
      </x:c>
      <x:c r="AR36" s="28" t="str">
        <x:v>https://raw.githubusercontent.com/ZYDTR/truthinsightbench-dwf-scoring/main/runs/EarthScience_01_glacial_fluvial_erosion/workspace/output/Result.md</x:v>
      </x:c>
      <x:c r="AS36" s="28" t="str">
        <x:v>待核验；暂不计入</x:v>
      </x:c>
    </x:row>
    <x:row r="37" ht="65" customHeight="1">
      <x:c r="A37" s="14" t="n">
        <x:v>32</x:v>
      </x:c>
      <x:c r="B37" s="14" t="str">
        <x:v>EarthScience_01_glacial_fluvial_erosion</x:v>
      </x:c>
      <x:c r="C37" s="14" t="str">
        <x:v>F3</x:v>
      </x:c>
      <x:c r="D37" s="28" t="str">
        <x:v>方法影响在各层级都大于过程</x:v>
      </x:c>
      <x:c r="E37" s="14" t="str">
        <x:v>G5</x:v>
      </x:c>
      <x:c r="F37" s="14" t="n">
        <x:v>0</x:v>
      </x:c>
      <x:c r="G37" s="36" t="n">
        <x:f>SUMPRODUCT(N37:AP37,$N$4:$AP$4)</x:f>
        <x:v>53</x:v>
      </x:c>
      <x:c r="H37" s="36" t="n">
        <x:f>SUMPRODUCT(N37:U37,$N$4:$U$4)</x:f>
        <x:v>22.5</x:v>
      </x:c>
      <x:c r="I37" s="36" t="n">
        <x:f>SUMPRODUCT(V37:Z37,$V$4:$Z$4)</x:f>
        <x:v>10.5</x:v>
      </x:c>
      <x:c r="J37" s="36" t="n">
        <x:f>SUMPRODUCT(AA37:AE37,$AA$4:$AE$4)</x:f>
        <x:v>12</x:v>
      </x:c>
      <x:c r="K37" s="36" t="n">
        <x:f>SUMPRODUCT(AF37:AI37,$AF$4:$AI$4)</x:f>
        <x:v>2</x:v>
      </x:c>
      <x:c r="L37" s="36" t="n">
        <x:f>SUMPRODUCT(AJ37:AK37,$AJ$4:$AK$4)</x:f>
        <x:v>4</x:v>
      </x:c>
      <x:c r="M37" s="36" t="n">
        <x:f>SUMPRODUCT(AL37:AP37,$AL$4:$AP$4)</x:f>
        <x:v>2</x:v>
      </x:c>
      <x:c r="N37" s="38" t="n">
        <x:v>0.5</x:v>
      </x:c>
      <x:c r="O37" s="38" t="n">
        <x:v>1</x:v>
      </x:c>
      <x:c r="P37" s="38" t="n">
        <x:v>0.5</x:v>
      </x:c>
      <x:c r="Q37" s="38" t="n">
        <x:v>1</x:v>
      </x:c>
      <x:c r="R37" s="38" t="n">
        <x:v>0.5</x:v>
      </x:c>
      <x:c r="S37" s="38" t="n">
        <x:v>0.5</x:v>
      </x:c>
      <x:c r="T37" s="38" t="n">
        <x:v>0</x:v>
      </x:c>
      <x:c r="U37" s="38" t="n">
        <x:v>0.5</x:v>
      </x:c>
      <x:c r="V37" s="38" t="n">
        <x:v>1</x:v>
      </x:c>
      <x:c r="W37" s="38" t="n">
        <x:v>0</x:v>
      </x:c>
      <x:c r="X37" s="38" t="n">
        <x:v>1</x:v>
      </x:c>
      <x:c r="Y37" s="38" t="n">
        <x:v>1</x:v>
      </x:c>
      <x:c r="Z37" s="38" t="n">
        <x:v>0.5</x:v>
      </x:c>
      <x:c r="AA37" s="38" t="n">
        <x:v>1</x:v>
      </x:c>
      <x:c r="AB37" s="38" t="n">
        <x:v>0.5</x:v>
      </x:c>
      <x:c r="AC37" s="38" t="n">
        <x:v>1</x:v>
      </x:c>
      <x:c r="AD37" s="38" t="n">
        <x:v>1</x:v>
      </x:c>
      <x:c r="AE37" s="38" t="n">
        <x:v>0.5</x:v>
      </x:c>
      <x:c r="AF37" s="38" t="n">
        <x:v>0.5</x:v>
      </x:c>
      <x:c r="AG37" s="38" t="n">
        <x:v>0</x:v>
      </x:c>
      <x:c r="AH37" s="38" t="n">
        <x:v>0</x:v>
      </x:c>
      <x:c r="AI37" s="38" t="n">
        <x:v>0.5</x:v>
      </x:c>
      <x:c r="AJ37" s="38" t="n">
        <x:v>1</x:v>
      </x:c>
      <x:c r="AK37" s="38" t="n">
        <x:v>0</x:v>
      </x:c>
      <x:c r="AL37" s="38" t="n">
        <x:v>1</x:v>
      </x:c>
      <x:c r="AM37" s="38" t="n">
        <x:v>0.5</x:v>
      </x:c>
      <x:c r="AN37" s="38" t="n">
        <x:v>0.5</x:v>
      </x:c>
      <x:c r="AO37" s="38" t="n">
        <x:v>0</x:v>
      </x:c>
      <x:c r="AP37" s="38" t="n">
        <x:v>0</x:v>
      </x:c>
      <x:c r="AQ37" s="28" t="str">
        <x:v>无调整比较支持方法较强，但加入模型最后时0.103&lt;0.120，完整病例亦反向；『每层都更强』不由证据推出。</x:v>
      </x:c>
      <x:c r="AR37" s="28" t="str">
        <x:v>https://raw.githubusercontent.com/ZYDTR/truthinsightbench-dwf-scoring/main/runs/EarthScience_01_glacial_fluvial_erosion/workspace/output/Result.md</x:v>
      </x:c>
      <x:c r="AS37" s="28" t="str">
        <x:v>待核验；暂不计入</x:v>
      </x:c>
    </x:row>
    <x:row r="38" ht="65" customHeight="1">
      <x:c r="A38" s="14" t="n">
        <x:v>33</x:v>
      </x:c>
      <x:c r="B38" s="14" t="str">
        <x:v>EarthScience_01_glacial_fluvial_erosion</x:v>
      </x:c>
      <x:c r="C38" s="14" t="str">
        <x:v>F4</x:v>
      </x:c>
      <x:c r="D38" s="28" t="str">
        <x:v>侵蚀过程差异高度依赖分层</x:v>
      </x:c>
      <x:c r="E38" s="14" t="str">
        <x:v>G3</x:v>
      </x:c>
      <x:c r="F38" s="14" t="n">
        <x:v>0</x:v>
      </x:c>
      <x:c r="G38" s="36" t="n">
        <x:f>SUMPRODUCT(N38:AP38,$N$4:$AP$4)</x:f>
        <x:v>66.5</x:v>
      </x:c>
      <x:c r="H38" s="36" t="n">
        <x:f>SUMPRODUCT(N38:U38,$N$4:$U$4)</x:f>
        <x:v>32.5</x:v>
      </x:c>
      <x:c r="I38" s="36" t="n">
        <x:f>SUMPRODUCT(V38:Z38,$V$4:$Z$4)</x:f>
        <x:v>12</x:v>
      </x:c>
      <x:c r="J38" s="36" t="n">
        <x:f>SUMPRODUCT(AA38:AE38,$AA$4:$AE$4)</x:f>
        <x:v>13.5</x:v>
      </x:c>
      <x:c r="K38" s="36" t="n">
        <x:f>SUMPRODUCT(AF38:AI38,$AF$4:$AI$4)</x:f>
        <x:v>2</x:v>
      </x:c>
      <x:c r="L38" s="36" t="n">
        <x:f>SUMPRODUCT(AJ38:AK38,$AJ$4:$AK$4)</x:f>
        <x:v>4</x:v>
      </x:c>
      <x:c r="M38" s="36" t="n">
        <x:f>SUMPRODUCT(AL38:AP38,$AL$4:$AP$4)</x:f>
        <x:v>2.5</x:v>
      </x:c>
      <x:c r="N38" s="38" t="n">
        <x:v>0.5</x:v>
      </x:c>
      <x:c r="O38" s="38" t="n">
        <x:v>1</x:v>
      </x:c>
      <x:c r="P38" s="38" t="n">
        <x:v>0.5</x:v>
      </x:c>
      <x:c r="Q38" s="38" t="n">
        <x:v>1</x:v>
      </x:c>
      <x:c r="R38" s="38" t="n">
        <x:v>0.5</x:v>
      </x:c>
      <x:c r="S38" s="38" t="n">
        <x:v>0.5</x:v>
      </x:c>
      <x:c r="T38" s="38" t="n">
        <x:v>1</x:v>
      </x:c>
      <x:c r="U38" s="38" t="n">
        <x:v>1</x:v>
      </x:c>
      <x:c r="V38" s="38" t="n">
        <x:v>1</x:v>
      </x:c>
      <x:c r="W38" s="38" t="n">
        <x:v>0</x:v>
      </x:c>
      <x:c r="X38" s="38" t="n">
        <x:v>1</x:v>
      </x:c>
      <x:c r="Y38" s="38" t="n">
        <x:v>1</x:v>
      </x:c>
      <x:c r="Z38" s="38" t="n">
        <x:v>1</x:v>
      </x:c>
      <x:c r="AA38" s="38" t="n">
        <x:v>1</x:v>
      </x:c>
      <x:c r="AB38" s="38" t="n">
        <x:v>1</x:v>
      </x:c>
      <x:c r="AC38" s="38" t="n">
        <x:v>1</x:v>
      </x:c>
      <x:c r="AD38" s="38" t="n">
        <x:v>1</x:v>
      </x:c>
      <x:c r="AE38" s="38" t="n">
        <x:v>0.5</x:v>
      </x:c>
      <x:c r="AF38" s="38" t="n">
        <x:v>0.5</x:v>
      </x:c>
      <x:c r="AG38" s="38" t="n">
        <x:v>0</x:v>
      </x:c>
      <x:c r="AH38" s="38" t="n">
        <x:v>0</x:v>
      </x:c>
      <x:c r="AI38" s="38" t="n">
        <x:v>0.5</x:v>
      </x:c>
      <x:c r="AJ38" s="38" t="n">
        <x:v>1</x:v>
      </x:c>
      <x:c r="AK38" s="38" t="n">
        <x:v>0</x:v>
      </x:c>
      <x:c r="AL38" s="38" t="n">
        <x:v>1</x:v>
      </x:c>
      <x:c r="AM38" s="38" t="n">
        <x:v>0.5</x:v>
      </x:c>
      <x:c r="AN38" s="38" t="n">
        <x:v>1</x:v>
      </x:c>
      <x:c r="AO38" s="38" t="n">
        <x:v>0</x:v>
      </x:c>
      <x:c r="AP38" s="38" t="n">
        <x:v>0</x:v>
      </x:c>
      <x:c r="AQ38" s="28" t="str">
        <x:v>5个方法层中3正2负且差异跨度大；匹配与地理混杂分析支持条件性而非统一过程效应。</x:v>
      </x:c>
      <x:c r="AR38" s="28" t="str">
        <x:v>https://raw.githubusercontent.com/ZYDTR/truthinsightbench-dwf-scoring/main/runs/EarthScience_01_glacial_fluvial_erosion/workspace/output/Result.md</x:v>
      </x:c>
      <x:c r="AS38" s="28" t="str">
        <x:v>待核验；暂不计入</x:v>
      </x:c>
    </x:row>
    <x:row r="39" ht="65" customHeight="1">
      <x:c r="A39" s="14" t="n">
        <x:v>34</x:v>
      </x:c>
      <x:c r="B39" s="14" t="str">
        <x:v>EarthScience_01_glacial_fluvial_erosion</x:v>
      </x:c>
      <x:c r="C39" s="14" t="str">
        <x:v>F5</x:v>
      </x:c>
      <x:c r="D39" s="28" t="str">
        <x:v>研究内聚类大幅降低独立信息量</x:v>
      </x:c>
      <x:c r="E39" s="14" t="str">
        <x:v>G4</x:v>
      </x:c>
      <x:c r="F39" s="14" t="n">
        <x:v>0</x:v>
      </x:c>
      <x:c r="G39" s="36" t="n">
        <x:f>SUMPRODUCT(N39:AP39,$N$4:$AP$4)</x:f>
        <x:v>65</x:v>
      </x:c>
      <x:c r="H39" s="36" t="n">
        <x:f>SUMPRODUCT(N39:U39,$N$4:$U$4)</x:f>
        <x:v>32.5</x:v>
      </x:c>
      <x:c r="I39" s="36" t="n">
        <x:f>SUMPRODUCT(V39:Z39,$V$4:$Z$4)</x:f>
        <x:v>12</x:v>
      </x:c>
      <x:c r="J39" s="36" t="n">
        <x:f>SUMPRODUCT(AA39:AE39,$AA$4:$AE$4)</x:f>
        <x:v>12</x:v>
      </x:c>
      <x:c r="K39" s="36" t="n">
        <x:f>SUMPRODUCT(AF39:AI39,$AF$4:$AI$4)</x:f>
        <x:v>2</x:v>
      </x:c>
      <x:c r="L39" s="36" t="n">
        <x:f>SUMPRODUCT(AJ39:AK39,$AJ$4:$AK$4)</x:f>
        <x:v>4</x:v>
      </x:c>
      <x:c r="M39" s="36" t="n">
        <x:f>SUMPRODUCT(AL39:AP39,$AL$4:$AP$4)</x:f>
        <x:v>2.5</x:v>
      </x:c>
      <x:c r="N39" s="38" t="n">
        <x:v>0.5</x:v>
      </x:c>
      <x:c r="O39" s="38" t="n">
        <x:v>1</x:v>
      </x:c>
      <x:c r="P39" s="38" t="n">
        <x:v>0.5</x:v>
      </x:c>
      <x:c r="Q39" s="38" t="n">
        <x:v>1</x:v>
      </x:c>
      <x:c r="R39" s="38" t="n">
        <x:v>0.5</x:v>
      </x:c>
      <x:c r="S39" s="38" t="n">
        <x:v>0.5</x:v>
      </x:c>
      <x:c r="T39" s="38" t="n">
        <x:v>1</x:v>
      </x:c>
      <x:c r="U39" s="38" t="n">
        <x:v>1</x:v>
      </x:c>
      <x:c r="V39" s="38" t="n">
        <x:v>1</x:v>
      </x:c>
      <x:c r="W39" s="38" t="n">
        <x:v>0</x:v>
      </x:c>
      <x:c r="X39" s="38" t="n">
        <x:v>1</x:v>
      </x:c>
      <x:c r="Y39" s="38" t="n">
        <x:v>1</x:v>
      </x:c>
      <x:c r="Z39" s="38" t="n">
        <x:v>1</x:v>
      </x:c>
      <x:c r="AA39" s="38" t="n">
        <x:v>1</x:v>
      </x:c>
      <x:c r="AB39" s="38" t="n">
        <x:v>0.5</x:v>
      </x:c>
      <x:c r="AC39" s="38" t="n">
        <x:v>1</x:v>
      </x:c>
      <x:c r="AD39" s="38" t="n">
        <x:v>1</x:v>
      </x:c>
      <x:c r="AE39" s="38" t="n">
        <x:v>0.5</x:v>
      </x:c>
      <x:c r="AF39" s="38" t="n">
        <x:v>0.5</x:v>
      </x:c>
      <x:c r="AG39" s="38" t="n">
        <x:v>0</x:v>
      </x:c>
      <x:c r="AH39" s="38" t="n">
        <x:v>0</x:v>
      </x:c>
      <x:c r="AI39" s="38" t="n">
        <x:v>0.5</x:v>
      </x:c>
      <x:c r="AJ39" s="38" t="n">
        <x:v>1</x:v>
      </x:c>
      <x:c r="AK39" s="38" t="n">
        <x:v>0</x:v>
      </x:c>
      <x:c r="AL39" s="38" t="n">
        <x:v>1</x:v>
      </x:c>
      <x:c r="AM39" s="38" t="n">
        <x:v>0.5</x:v>
      </x:c>
      <x:c r="AN39" s="38" t="n">
        <x:v>1</x:v>
      </x:c>
      <x:c r="AO39" s="38" t="n">
        <x:v>0</x:v>
      </x:c>
      <x:c r="AP39" s="38" t="n">
        <x:v>0</x:v>
      </x:c>
      <x:c r="AQ39" s="28" t="str">
        <x:v>研究内相关约0.726，研究级与逐行结果不同；有效样本量只是设计效应近似。</x:v>
      </x:c>
      <x:c r="AR39" s="28" t="str">
        <x:v>https://raw.githubusercontent.com/ZYDTR/truthinsightbench-dwf-scoring/main/runs/EarthScience_01_glacial_fluvial_erosion/workspace/output/Result.md</x:v>
      </x:c>
      <x:c r="AS39" s="28" t="str">
        <x:v>待核验；暂不计入</x:v>
      </x:c>
    </x:row>
    <x:row r="40" ht="65" customHeight="1">
      <x:c r="A40" s="14" t="n">
        <x:v>35</x:v>
      </x:c>
      <x:c r="B40" s="14" t="str">
        <x:v>EarthScience_02_ice_particle_composition</x:v>
      </x:c>
      <x:c r="C40" s="14" t="str">
        <x:v>F1</x:v>
      </x:c>
      <x:c r="D40" s="28" t="str">
        <x:v>深度趋势受站点杠杆影响</x:v>
      </x:c>
      <x:c r="E40" s="14" t="str">
        <x:v>G1</x:v>
      </x:c>
      <x:c r="F40" s="14" t="n">
        <x:v>0</x:v>
      </x:c>
      <x:c r="G40" s="36" t="n">
        <x:f>SUMPRODUCT(N40:AP40,$N$4:$AP$4)</x:f>
        <x:v>66.5</x:v>
      </x:c>
      <x:c r="H40" s="36" t="n">
        <x:f>SUMPRODUCT(N40:U40,$N$4:$U$4)</x:f>
        <x:v>32.5</x:v>
      </x:c>
      <x:c r="I40" s="36" t="n">
        <x:f>SUMPRODUCT(V40:Z40,$V$4:$Z$4)</x:f>
        <x:v>12</x:v>
      </x:c>
      <x:c r="J40" s="36" t="n">
        <x:f>SUMPRODUCT(AA40:AE40,$AA$4:$AE$4)</x:f>
        <x:v>13.5</x:v>
      </x:c>
      <x:c r="K40" s="36" t="n">
        <x:f>SUMPRODUCT(AF40:AI40,$AF$4:$AI$4)</x:f>
        <x:v>2</x:v>
      </x:c>
      <x:c r="L40" s="36" t="n">
        <x:f>SUMPRODUCT(AJ40:AK40,$AJ$4:$AK$4)</x:f>
        <x:v>4</x:v>
      </x:c>
      <x:c r="M40" s="36" t="n">
        <x:f>SUMPRODUCT(AL40:AP40,$AL$4:$AP$4)</x:f>
        <x:v>2.5</x:v>
      </x:c>
      <x:c r="N40" s="38" t="n">
        <x:v>0.5</x:v>
      </x:c>
      <x:c r="O40" s="38" t="n">
        <x:v>1</x:v>
      </x:c>
      <x:c r="P40" s="38" t="n">
        <x:v>0.5</x:v>
      </x:c>
      <x:c r="Q40" s="38" t="n">
        <x:v>1</x:v>
      </x:c>
      <x:c r="R40" s="38" t="n">
        <x:v>0.5</x:v>
      </x:c>
      <x:c r="S40" s="38" t="n">
        <x:v>0.5</x:v>
      </x:c>
      <x:c r="T40" s="38" t="n">
        <x:v>1</x:v>
      </x:c>
      <x:c r="U40" s="38" t="n">
        <x:v>1</x:v>
      </x:c>
      <x:c r="V40" s="38" t="n">
        <x:v>1</x:v>
      </x:c>
      <x:c r="W40" s="38" t="n">
        <x:v>0</x:v>
      </x:c>
      <x:c r="X40" s="38" t="n">
        <x:v>1</x:v>
      </x:c>
      <x:c r="Y40" s="38" t="n">
        <x:v>1</x:v>
      </x:c>
      <x:c r="Z40" s="38" t="n">
        <x:v>1</x:v>
      </x:c>
      <x:c r="AA40" s="38" t="n">
        <x:v>1</x:v>
      </x:c>
      <x:c r="AB40" s="38" t="n">
        <x:v>1</x:v>
      </x:c>
      <x:c r="AC40" s="38" t="n">
        <x:v>1</x:v>
      </x:c>
      <x:c r="AD40" s="38" t="n">
        <x:v>1</x:v>
      </x:c>
      <x:c r="AE40" s="38" t="n">
        <x:v>0.5</x:v>
      </x:c>
      <x:c r="AF40" s="38" t="n">
        <x:v>0.5</x:v>
      </x:c>
      <x:c r="AG40" s="38" t="n">
        <x:v>0</x:v>
      </x:c>
      <x:c r="AH40" s="38" t="n">
        <x:v>0</x:v>
      </x:c>
      <x:c r="AI40" s="38" t="n">
        <x:v>0.5</x:v>
      </x:c>
      <x:c r="AJ40" s="38" t="n">
        <x:v>1</x:v>
      </x:c>
      <x:c r="AK40" s="38" t="n">
        <x:v>0</x:v>
      </x:c>
      <x:c r="AL40" s="38" t="n">
        <x:v>1</x:v>
      </x:c>
      <x:c r="AM40" s="38" t="n">
        <x:v>0.5</x:v>
      </x:c>
      <x:c r="AN40" s="38" t="n">
        <x:v>1</x:v>
      </x:c>
      <x:c r="AO40" s="38" t="n">
        <x:v>0</x:v>
      </x:c>
      <x:c r="AP40" s="38" t="n">
        <x:v>0</x:v>
      </x:c>
      <x:c r="AQ40" s="28" t="str">
        <x:v>五站整组置换及删站结论不显著；把深度效应限制在实际统计功效内。</x:v>
      </x:c>
      <x:c r="AR40" s="28" t="str">
        <x:v>https://raw.githubusercontent.com/ZYDTR/truthinsightbench-dwf-scoring/main/runs/EarthScience_02_ice_particle_composition/workspace/output/Result.md</x:v>
      </x:c>
      <x:c r="AS40" s="28" t="str">
        <x:v>待核验；暂不计入</x:v>
      </x:c>
    </x:row>
    <x:row r="41" ht="65" customHeight="1">
      <x:c r="A41" s="14" t="n">
        <x:v>36</x:v>
      </x:c>
      <x:c r="B41" s="14" t="str">
        <x:v>EarthScience_02_ice_particle_composition</x:v>
      </x:c>
      <x:c r="C41" s="14" t="str">
        <x:v>F2</x:v>
      </x:c>
      <x:c r="D41" s="28" t="str">
        <x:v>叶绿素与丰度的负关系不够稳健</x:v>
      </x:c>
      <x:c r="E41" s="14" t="str">
        <x:v>G2</x:v>
      </x:c>
      <x:c r="F41" s="14" t="n">
        <x:v>0</x:v>
      </x:c>
      <x:c r="G41" s="36" t="n">
        <x:f>SUMPRODUCT(N41:AP41,$N$4:$AP$4)</x:f>
        <x:v>66.5</x:v>
      </x:c>
      <x:c r="H41" s="36" t="n">
        <x:f>SUMPRODUCT(N41:U41,$N$4:$U$4)</x:f>
        <x:v>32.5</x:v>
      </x:c>
      <x:c r="I41" s="36" t="n">
        <x:f>SUMPRODUCT(V41:Z41,$V$4:$Z$4)</x:f>
        <x:v>12</x:v>
      </x:c>
      <x:c r="J41" s="36" t="n">
        <x:f>SUMPRODUCT(AA41:AE41,$AA$4:$AE$4)</x:f>
        <x:v>13.5</x:v>
      </x:c>
      <x:c r="K41" s="36" t="n">
        <x:f>SUMPRODUCT(AF41:AI41,$AF$4:$AI$4)</x:f>
        <x:v>2</x:v>
      </x:c>
      <x:c r="L41" s="36" t="n">
        <x:f>SUMPRODUCT(AJ41:AK41,$AJ$4:$AK$4)</x:f>
        <x:v>4</x:v>
      </x:c>
      <x:c r="M41" s="36" t="n">
        <x:f>SUMPRODUCT(AL41:AP41,$AL$4:$AP$4)</x:f>
        <x:v>2.5</x:v>
      </x:c>
      <x:c r="N41" s="38" t="n">
        <x:v>0.5</x:v>
      </x:c>
      <x:c r="O41" s="38" t="n">
        <x:v>1</x:v>
      </x:c>
      <x:c r="P41" s="38" t="n">
        <x:v>0.5</x:v>
      </x:c>
      <x:c r="Q41" s="38" t="n">
        <x:v>1</x:v>
      </x:c>
      <x:c r="R41" s="38" t="n">
        <x:v>0.5</x:v>
      </x:c>
      <x:c r="S41" s="38" t="n">
        <x:v>0.5</x:v>
      </x:c>
      <x:c r="T41" s="38" t="n">
        <x:v>1</x:v>
      </x:c>
      <x:c r="U41" s="38" t="n">
        <x:v>1</x:v>
      </x:c>
      <x:c r="V41" s="38" t="n">
        <x:v>1</x:v>
      </x:c>
      <x:c r="W41" s="38" t="n">
        <x:v>0</x:v>
      </x:c>
      <x:c r="X41" s="38" t="n">
        <x:v>1</x:v>
      </x:c>
      <x:c r="Y41" s="38" t="n">
        <x:v>1</x:v>
      </x:c>
      <x:c r="Z41" s="38" t="n">
        <x:v>1</x:v>
      </x:c>
      <x:c r="AA41" s="38" t="n">
        <x:v>1</x:v>
      </x:c>
      <x:c r="AB41" s="38" t="n">
        <x:v>1</x:v>
      </x:c>
      <x:c r="AC41" s="38" t="n">
        <x:v>1</x:v>
      </x:c>
      <x:c r="AD41" s="38" t="n">
        <x:v>1</x:v>
      </x:c>
      <x:c r="AE41" s="38" t="n">
        <x:v>0.5</x:v>
      </x:c>
      <x:c r="AF41" s="38" t="n">
        <x:v>0.5</x:v>
      </x:c>
      <x:c r="AG41" s="38" t="n">
        <x:v>0</x:v>
      </x:c>
      <x:c r="AH41" s="38" t="n">
        <x:v>0</x:v>
      </x:c>
      <x:c r="AI41" s="38" t="n">
        <x:v>0.5</x:v>
      </x:c>
      <x:c r="AJ41" s="38" t="n">
        <x:v>1</x:v>
      </x:c>
      <x:c r="AK41" s="38" t="n">
        <x:v>0</x:v>
      </x:c>
      <x:c r="AL41" s="38" t="n">
        <x:v>1</x:v>
      </x:c>
      <x:c r="AM41" s="38" t="n">
        <x:v>0.5</x:v>
      </x:c>
      <x:c r="AN41" s="38" t="n">
        <x:v>1</x:v>
      </x:c>
      <x:c r="AO41" s="38" t="n">
        <x:v>0</x:v>
      </x:c>
      <x:c r="AP41" s="38" t="n">
        <x:v>0</x:v>
      </x:c>
      <x:c r="AQ41" s="28" t="str">
        <x:v>常规聚类回归偏负，但仅五组的精确/删组检验不足显著；未用单一p值强行定论。</x:v>
      </x:c>
      <x:c r="AR41" s="28" t="str">
        <x:v>https://raw.githubusercontent.com/ZYDTR/truthinsightbench-dwf-scoring/main/runs/EarthScience_02_ice_particle_composition/workspace/output/Result.md</x:v>
      </x:c>
      <x:c r="AS41" s="28" t="str">
        <x:v>待核验；暂不计入</x:v>
      </x:c>
    </x:row>
    <x:row r="42" ht="65" customHeight="1">
      <x:c r="A42" s="14" t="n">
        <x:v>37</x:v>
      </x:c>
      <x:c r="B42" s="14" t="str">
        <x:v>EarthScience_02_ice_particle_composition</x:v>
      </x:c>
      <x:c r="C42" s="14" t="str">
        <x:v>F3</x:v>
      </x:c>
      <x:c r="D42" s="28" t="str">
        <x:v>聚乙烯占比变化集中于低丰度区</x:v>
      </x:c>
      <x:c r="E42" s="14" t="str">
        <x:v>G4</x:v>
      </x:c>
      <x:c r="F42" s="14" t="n">
        <x:v>0</x:v>
      </x:c>
      <x:c r="G42" s="36" t="n">
        <x:f>SUMPRODUCT(N42:AP42,$N$4:$AP$4)</x:f>
        <x:v>61</x:v>
      </x:c>
      <x:c r="H42" s="36" t="n">
        <x:f>SUMPRODUCT(N42:U42,$N$4:$U$4)</x:f>
        <x:v>28.5</x:v>
      </x:c>
      <x:c r="I42" s="36" t="n">
        <x:f>SUMPRODUCT(V42:Z42,$V$4:$Z$4)</x:f>
        <x:v>12</x:v>
      </x:c>
      <x:c r="J42" s="36" t="n">
        <x:f>SUMPRODUCT(AA42:AE42,$AA$4:$AE$4)</x:f>
        <x:v>12</x:v>
      </x:c>
      <x:c r="K42" s="36" t="n">
        <x:f>SUMPRODUCT(AF42:AI42,$AF$4:$AI$4)</x:f>
        <x:v>2</x:v>
      </x:c>
      <x:c r="L42" s="36" t="n">
        <x:f>SUMPRODUCT(AJ42:AK42,$AJ$4:$AK$4)</x:f>
        <x:v>4</x:v>
      </x:c>
      <x:c r="M42" s="36" t="n">
        <x:f>SUMPRODUCT(AL42:AP42,$AL$4:$AP$4)</x:f>
        <x:v>2.5</x:v>
      </x:c>
      <x:c r="N42" s="38" t="n">
        <x:v>0.5</x:v>
      </x:c>
      <x:c r="O42" s="38" t="n">
        <x:v>1</x:v>
      </x:c>
      <x:c r="P42" s="38" t="n">
        <x:v>0.5</x:v>
      </x:c>
      <x:c r="Q42" s="38" t="n">
        <x:v>1</x:v>
      </x:c>
      <x:c r="R42" s="38" t="n">
        <x:v>0.5</x:v>
      </x:c>
      <x:c r="S42" s="38" t="n">
        <x:v>0.5</x:v>
      </x:c>
      <x:c r="T42" s="38" t="n">
        <x:v>0.5</x:v>
      </x:c>
      <x:c r="U42" s="38" t="n">
        <x:v>1</x:v>
      </x:c>
      <x:c r="V42" s="38" t="n">
        <x:v>1</x:v>
      </x:c>
      <x:c r="W42" s="38" t="n">
        <x:v>0</x:v>
      </x:c>
      <x:c r="X42" s="38" t="n">
        <x:v>1</x:v>
      </x:c>
      <x:c r="Y42" s="38" t="n">
        <x:v>1</x:v>
      </x:c>
      <x:c r="Z42" s="38" t="n">
        <x:v>1</x:v>
      </x:c>
      <x:c r="AA42" s="38" t="n">
        <x:v>1</x:v>
      </x:c>
      <x:c r="AB42" s="38" t="n">
        <x:v>0.5</x:v>
      </x:c>
      <x:c r="AC42" s="38" t="n">
        <x:v>1</x:v>
      </x:c>
      <x:c r="AD42" s="38" t="n">
        <x:v>1</x:v>
      </x:c>
      <x:c r="AE42" s="38" t="n">
        <x:v>0.5</x:v>
      </x:c>
      <x:c r="AF42" s="38" t="n">
        <x:v>0.5</x:v>
      </x:c>
      <x:c r="AG42" s="38" t="n">
        <x:v>0</x:v>
      </x:c>
      <x:c r="AH42" s="38" t="n">
        <x:v>0</x:v>
      </x:c>
      <x:c r="AI42" s="38" t="n">
        <x:v>0.5</x:v>
      </x:c>
      <x:c r="AJ42" s="38" t="n">
        <x:v>1</x:v>
      </x:c>
      <x:c r="AK42" s="38" t="n">
        <x:v>0</x:v>
      </x:c>
      <x:c r="AL42" s="38" t="n">
        <x:v>1</x:v>
      </x:c>
      <x:c r="AM42" s="38" t="n">
        <x:v>0.5</x:v>
      </x:c>
      <x:c r="AN42" s="38" t="n">
        <x:v>1</x:v>
      </x:c>
      <x:c r="AO42" s="38" t="n">
        <x:v>0</x:v>
      </x:c>
      <x:c r="AP42" s="38" t="n">
        <x:v>0</x:v>
      </x:c>
      <x:c r="AQ42" s="28" t="str">
        <x:v>分段边界有数值支持，高丰度段斜率接近零；个别方向措辞和『精确』重建表述需降档。</x:v>
      </x:c>
      <x:c r="AR42" s="28" t="str">
        <x:v>https://raw.githubusercontent.com/ZYDTR/truthinsightbench-dwf-scoring/main/runs/EarthScience_02_ice_particle_composition/workspace/output/Result.md</x:v>
      </x:c>
      <x:c r="AS42" s="28" t="str">
        <x:v>待核验；暂不计入</x:v>
      </x:c>
    </x:row>
    <x:row r="43" ht="65" customHeight="1">
      <x:c r="A43" s="14" t="n">
        <x:v>38</x:v>
      </x:c>
      <x:c r="B43" s="14" t="str">
        <x:v>EarthScience_02_ice_particle_composition</x:v>
      </x:c>
      <x:c r="C43" s="14" t="str">
        <x:v>F4</x:v>
      </x:c>
      <x:c r="D43" s="28" t="str">
        <x:v>组成与派生计数具有量化约束</x:v>
      </x:c>
      <x:c r="E43" s="14" t="str">
        <x:v>G3</x:v>
      </x:c>
      <x:c r="F43" s="14" t="n">
        <x:v>0</x:v>
      </x:c>
      <x:c r="G43" s="36" t="n">
        <x:f>SUMPRODUCT(N43:AP43,$N$4:$AP$4)</x:f>
        <x:v>63.5</x:v>
      </x:c>
      <x:c r="H43" s="36" t="n">
        <x:f>SUMPRODUCT(N43:U43,$N$4:$U$4)</x:f>
        <x:v>32.5</x:v>
      </x:c>
      <x:c r="I43" s="36" t="n">
        <x:f>SUMPRODUCT(V43:Z43,$V$4:$Z$4)</x:f>
        <x:v>10.5</x:v>
      </x:c>
      <x:c r="J43" s="36" t="n">
        <x:f>SUMPRODUCT(AA43:AE43,$AA$4:$AE$4)</x:f>
        <x:v>13.5</x:v>
      </x:c>
      <x:c r="K43" s="36" t="n">
        <x:f>SUMPRODUCT(AF43:AI43,$AF$4:$AI$4)</x:f>
        <x:v>0</x:v>
      </x:c>
      <x:c r="L43" s="36" t="n">
        <x:f>SUMPRODUCT(AJ43:AK43,$AJ$4:$AK$4)</x:f>
        <x:v>4</x:v>
      </x:c>
      <x:c r="M43" s="36" t="n">
        <x:f>SUMPRODUCT(AL43:AP43,$AL$4:$AP$4)</x:f>
        <x:v>3</x:v>
      </x:c>
      <x:c r="N43" s="38" t="n">
        <x:v>0.5</x:v>
      </x:c>
      <x:c r="O43" s="38" t="n">
        <x:v>1</x:v>
      </x:c>
      <x:c r="P43" s="38" t="n">
        <x:v>0.5</x:v>
      </x:c>
      <x:c r="Q43" s="38" t="n">
        <x:v>1</x:v>
      </x:c>
      <x:c r="R43" s="38" t="n">
        <x:v>0.5</x:v>
      </x:c>
      <x:c r="S43" s="38" t="n">
        <x:v>0.5</x:v>
      </x:c>
      <x:c r="T43" s="38" t="n">
        <x:v>1</x:v>
      </x:c>
      <x:c r="U43" s="38" t="n">
        <x:v>1</x:v>
      </x:c>
      <x:c r="V43" s="38" t="n">
        <x:v>0.5</x:v>
      </x:c>
      <x:c r="W43" s="38" t="n">
        <x:v>0</x:v>
      </x:c>
      <x:c r="X43" s="38" t="n">
        <x:v>1</x:v>
      </x:c>
      <x:c r="Y43" s="38" t="n">
        <x:v>1</x:v>
      </x:c>
      <x:c r="Z43" s="38" t="n">
        <x:v>1</x:v>
      </x:c>
      <x:c r="AA43" s="38" t="n">
        <x:v>1</x:v>
      </x:c>
      <x:c r="AB43" s="38" t="n">
        <x:v>1</x:v>
      </x:c>
      <x:c r="AC43" s="38" t="n">
        <x:v>1</x:v>
      </x:c>
      <x:c r="AD43" s="38" t="n">
        <x:v>1</x:v>
      </x:c>
      <x:c r="AE43" s="38" t="n">
        <x:v>0.5</x:v>
      </x:c>
      <x:c r="AF43" s="38" t="n">
        <x:v>0</x:v>
      </x:c>
      <x:c r="AG43" s="38" t="n">
        <x:v>0</x:v>
      </x:c>
      <x:c r="AH43" s="38" t="n">
        <x:v>0</x:v>
      </x:c>
      <x:c r="AI43" s="38" t="n">
        <x:v>0</x:v>
      </x:c>
      <x:c r="AJ43" s="38" t="n">
        <x:v>1</x:v>
      </x:c>
      <x:c r="AK43" s="38" t="n">
        <x:v>0</x:v>
      </x:c>
      <x:c r="AL43" s="38" t="n">
        <x:v>0.5</x:v>
      </x:c>
      <x:c r="AM43" s="38" t="n">
        <x:v>0.5</x:v>
      </x:c>
      <x:c r="AN43" s="38" t="n">
        <x:v>1</x:v>
      </x:c>
      <x:c r="AO43" s="38" t="n">
        <x:v>1</x:v>
      </x:c>
      <x:c r="AP43" s="38" t="n">
        <x:v>0</x:v>
      </x:c>
      <x:c r="AQ43" s="28" t="str">
        <x:v>百分比量化及计数残差表明派生列不是独立测量；明确近似量化而非逐项严格整数。</x:v>
      </x:c>
      <x:c r="AR43" s="28" t="str">
        <x:v>https://raw.githubusercontent.com/ZYDTR/truthinsightbench-dwf-scoring/main/runs/EarthScience_02_ice_particle_composition/workspace/output/Result.md</x:v>
      </x:c>
      <x:c r="AS43" s="28" t="str">
        <x:v>待核验；暂不计入</x:v>
      </x:c>
    </x:row>
    <x:row r="44" ht="65" customHeight="1">
      <x:c r="A44" s="14" t="n">
        <x:v>39</x:v>
      </x:c>
      <x:c r="B44" s="14" t="str">
        <x:v>EarthScience_02_ice_particle_composition</x:v>
      </x:c>
      <x:c r="C44" s="14" t="str">
        <x:v>F5</x:v>
      </x:c>
      <x:c r="D44" s="28" t="str">
        <x:v>粒径与丰度方向的报告矛盾</x:v>
      </x:c>
      <x:c r="E44" s="14" t="str">
        <x:v>G5</x:v>
      </x:c>
      <x:c r="F44" s="14" t="n">
        <x:v>0</x:v>
      </x:c>
      <x:c r="G44" s="36" t="n">
        <x:f>SUMPRODUCT(N44:AP44,$N$4:$AP$4)</x:f>
        <x:v>45.5</x:v>
      </x:c>
      <x:c r="H44" s="36" t="n">
        <x:f>SUMPRODUCT(N44:U44,$N$4:$U$4)</x:f>
        <x:v>20</x:v>
      </x:c>
      <x:c r="I44" s="36" t="n">
        <x:f>SUMPRODUCT(V44:Z44,$V$4:$Z$4)</x:f>
        <x:v>9</x:v>
      </x:c>
      <x:c r="J44" s="36" t="n">
        <x:f>SUMPRODUCT(AA44:AE44,$AA$4:$AE$4)</x:f>
        <x:v>10.5</x:v>
      </x:c>
      <x:c r="K44" s="36" t="n">
        <x:f>SUMPRODUCT(AF44:AI44,$AF$4:$AI$4)</x:f>
        <x:v>0</x:v>
      </x:c>
      <x:c r="L44" s="36" t="n">
        <x:f>SUMPRODUCT(AJ44:AK44,$AJ$4:$AK$4)</x:f>
        <x:v>4</x:v>
      </x:c>
      <x:c r="M44" s="36" t="n">
        <x:f>SUMPRODUCT(AL44:AP44,$AL$4:$AP$4)</x:f>
        <x:v>2</x:v>
      </x:c>
      <x:c r="N44" s="38" t="n">
        <x:v>0.5</x:v>
      </x:c>
      <x:c r="O44" s="38" t="n">
        <x:v>1</x:v>
      </x:c>
      <x:c r="P44" s="38" t="n">
        <x:v>0.5</x:v>
      </x:c>
      <x:c r="Q44" s="38" t="n">
        <x:v>1</x:v>
      </x:c>
      <x:c r="R44" s="38" t="n">
        <x:v>0.5</x:v>
      </x:c>
      <x:c r="S44" s="38" t="n">
        <x:v>0</x:v>
      </x:c>
      <x:c r="T44" s="38" t="n">
        <x:v>0</x:v>
      </x:c>
      <x:c r="U44" s="38" t="n">
        <x:v>0.5</x:v>
      </x:c>
      <x:c r="V44" s="38" t="n">
        <x:v>0.5</x:v>
      </x:c>
      <x:c r="W44" s="38" t="n">
        <x:v>0</x:v>
      </x:c>
      <x:c r="X44" s="38" t="n">
        <x:v>1</x:v>
      </x:c>
      <x:c r="Y44" s="38" t="n">
        <x:v>1</x:v>
      </x:c>
      <x:c r="Z44" s="38" t="n">
        <x:v>0.5</x:v>
      </x:c>
      <x:c r="AA44" s="38" t="n">
        <x:v>0.5</x:v>
      </x:c>
      <x:c r="AB44" s="38" t="n">
        <x:v>0.5</x:v>
      </x:c>
      <x:c r="AC44" s="38" t="n">
        <x:v>1</x:v>
      </x:c>
      <x:c r="AD44" s="38" t="n">
        <x:v>1</x:v>
      </x:c>
      <x:c r="AE44" s="38" t="n">
        <x:v>0.5</x:v>
      </x:c>
      <x:c r="AF44" s="38" t="n">
        <x:v>0</x:v>
      </x:c>
      <x:c r="AG44" s="38" t="n">
        <x:v>0</x:v>
      </x:c>
      <x:c r="AH44" s="38" t="n">
        <x:v>0</x:v>
      </x:c>
      <x:c r="AI44" s="38" t="n">
        <x:v>0</x:v>
      </x:c>
      <x:c r="AJ44" s="38" t="n">
        <x:v>1</x:v>
      </x:c>
      <x:c r="AK44" s="38" t="n">
        <x:v>0</x:v>
      </x:c>
      <x:c r="AL44" s="38" t="n">
        <x:v>1</x:v>
      </x:c>
      <x:c r="AM44" s="38" t="n">
        <x:v>0.5</x:v>
      </x:c>
      <x:c r="AN44" s="38" t="n">
        <x:v>0.5</x:v>
      </x:c>
      <x:c r="AO44" s="38" t="n">
        <x:v>0</x:v>
      </x:c>
      <x:c r="AP44" s="38" t="n">
        <x:v>0</x:v>
      </x:c>
      <x:c r="AQ44" s="28" t="str">
        <x:v>所列负相关与『低丰度更陡』标题的方向不一致；分箱后低功效不能证明无效应。此处扣内容分，未完成原始曲线复算，不加P。</x:v>
      </x:c>
      <x:c r="AR44" s="28" t="str">
        <x:v>https://raw.githubusercontent.com/ZYDTR/truthinsightbench-dwf-scoring/main/runs/EarthScience_02_ice_particle_composition/workspace/output/Result.md</x:v>
      </x:c>
      <x:c r="AS44" s="28" t="str">
        <x:v>待核验；暂不计入</x:v>
      </x:c>
    </x:row>
    <x:row r="45" ht="65" customHeight="1">
      <x:c r="A45" s="14" t="n">
        <x:v>40</x:v>
      </x:c>
      <x:c r="B45" s="14" t="str">
        <x:v>EarthScience_03_ice_core_event_structure</x:v>
      </x:c>
      <x:c r="C45" s="14" t="str">
        <x:v>F1</x:v>
      </x:c>
      <x:c r="D45" s="28" t="str">
        <x:v>列间几何依赖被过度等同于不独立</x:v>
      </x:c>
      <x:c r="E45" s="14" t="str">
        <x:v>G5</x:v>
      </x:c>
      <x:c r="F45" s="14" t="n">
        <x:v>0</x:v>
      </x:c>
      <x:c r="G45" s="36" t="n">
        <x:f>SUMPRODUCT(N45:AP45,$N$4:$AP$4)</x:f>
        <x:v>49</x:v>
      </x:c>
      <x:c r="H45" s="36" t="n">
        <x:f>SUMPRODUCT(N45:U45,$N$4:$U$4)</x:f>
        <x:v>22.5</x:v>
      </x:c>
      <x:c r="I45" s="36" t="n">
        <x:f>SUMPRODUCT(V45:Z45,$V$4:$Z$4)</x:f>
        <x:v>7.5</x:v>
      </x:c>
      <x:c r="J45" s="36" t="n">
        <x:f>SUMPRODUCT(AA45:AE45,$AA$4:$AE$4)</x:f>
        <x:v>12</x:v>
      </x:c>
      <x:c r="K45" s="36" t="n">
        <x:f>SUMPRODUCT(AF45:AI45,$AF$4:$AI$4)</x:f>
        <x:v>0</x:v>
      </x:c>
      <x:c r="L45" s="36" t="n">
        <x:f>SUMPRODUCT(AJ45:AK45,$AJ$4:$AK$4)</x:f>
        <x:v>4</x:v>
      </x:c>
      <x:c r="M45" s="36" t="n">
        <x:f>SUMPRODUCT(AL45:AP45,$AL$4:$AP$4)</x:f>
        <x:v>3</x:v>
      </x:c>
      <x:c r="N45" s="38" t="n">
        <x:v>0.5</x:v>
      </x:c>
      <x:c r="O45" s="38" t="n">
        <x:v>1</x:v>
      </x:c>
      <x:c r="P45" s="38" t="n">
        <x:v>0.5</x:v>
      </x:c>
      <x:c r="Q45" s="38" t="n">
        <x:v>1</x:v>
      </x:c>
      <x:c r="R45" s="38" t="n">
        <x:v>0.5</x:v>
      </x:c>
      <x:c r="S45" s="38" t="n">
        <x:v>0.5</x:v>
      </x:c>
      <x:c r="T45" s="38" t="n">
        <x:v>0</x:v>
      </x:c>
      <x:c r="U45" s="38" t="n">
        <x:v>0.5</x:v>
      </x:c>
      <x:c r="V45" s="38" t="n">
        <x:v>0.5</x:v>
      </x:c>
      <x:c r="W45" s="38" t="n">
        <x:v>0</x:v>
      </x:c>
      <x:c r="X45" s="38" t="n">
        <x:v>0.5</x:v>
      </x:c>
      <x:c r="Y45" s="38" t="n">
        <x:v>1</x:v>
      </x:c>
      <x:c r="Z45" s="38" t="n">
        <x:v>0.5</x:v>
      </x:c>
      <x:c r="AA45" s="38" t="n">
        <x:v>1</x:v>
      </x:c>
      <x:c r="AB45" s="38" t="n">
        <x:v>0.5</x:v>
      </x:c>
      <x:c r="AC45" s="38" t="n">
        <x:v>1</x:v>
      </x:c>
      <x:c r="AD45" s="38" t="n">
        <x:v>1</x:v>
      </x:c>
      <x:c r="AE45" s="38" t="n">
        <x:v>0.5</x:v>
      </x:c>
      <x:c r="AF45" s="38" t="n">
        <x:v>0</x:v>
      </x:c>
      <x:c r="AG45" s="38" t="n">
        <x:v>0</x:v>
      </x:c>
      <x:c r="AH45" s="38" t="n">
        <x:v>0</x:v>
      </x:c>
      <x:c r="AI45" s="38" t="n">
        <x:v>0</x:v>
      </x:c>
      <x:c r="AJ45" s="38" t="n">
        <x:v>1</x:v>
      </x:c>
      <x:c r="AK45" s="38" t="n">
        <x:v>0</x:v>
      </x:c>
      <x:c r="AL45" s="38" t="n">
        <x:v>0.5</x:v>
      </x:c>
      <x:c r="AM45" s="38" t="n">
        <x:v>0.5</x:v>
      </x:c>
      <x:c r="AN45" s="38" t="n">
        <x:v>1</x:v>
      </x:c>
      <x:c r="AO45" s="38" t="n">
        <x:v>1</x:v>
      </x:c>
      <x:c r="AP45" s="38" t="n">
        <x:v>0</x:v>
      </x:c>
      <x:c r="AQ45" s="28" t="str">
        <x:v>确有累积、深度和密度关系，但唯一深度上可拟合函数不能证明随机独立性丧失；若干『精确』关系仍有残差。</x:v>
      </x:c>
      <x:c r="AR45" s="28" t="str">
        <x:v>https://raw.githubusercontent.com/ZYDTR/truthinsightbench-dwf-scoring/main/runs/EarthScience_03_ice_core_event_structure/workspace/output/Result.md</x:v>
      </x:c>
      <x:c r="AS45" s="28" t="str">
        <x:v>待核验；暂不计入</x:v>
      </x:c>
    </x:row>
    <x:row r="46" ht="65" customHeight="1">
      <x:c r="A46" s="14" t="n">
        <x:v>41</x:v>
      </x:c>
      <x:c r="B46" s="14" t="str">
        <x:v>EarthScience_03_ice_core_event_structure</x:v>
      </x:c>
      <x:c r="C46" s="14" t="str">
        <x:v>F2</x:v>
      </x:c>
      <x:c r="D46" s="28" t="str">
        <x:v>水当量积分与所给累计量不一致</x:v>
      </x:c>
      <x:c r="E46" s="14" t="str">
        <x:v>G1</x:v>
      </x:c>
      <x:c r="F46" s="14" t="n">
        <x:v>0</x:v>
      </x:c>
      <x:c r="G46" s="36" t="n">
        <x:f>SUMPRODUCT(N46:AP46,$N$4:$AP$4)</x:f>
        <x:v>68</x:v>
      </x:c>
      <x:c r="H46" s="36" t="n">
        <x:f>SUMPRODUCT(N46:U46,$N$4:$U$4)</x:f>
        <x:v>35</x:v>
      </x:c>
      <x:c r="I46" s="36" t="n">
        <x:f>SUMPRODUCT(V46:Z46,$V$4:$Z$4)</x:f>
        <x:v>10.5</x:v>
      </x:c>
      <x:c r="J46" s="36" t="n">
        <x:f>SUMPRODUCT(AA46:AE46,$AA$4:$AE$4)</x:f>
        <x:v>13.5</x:v>
      </x:c>
      <x:c r="K46" s="36" t="n">
        <x:f>SUMPRODUCT(AF46:AI46,$AF$4:$AI$4)</x:f>
        <x:v>2</x:v>
      </x:c>
      <x:c r="L46" s="36" t="n">
        <x:f>SUMPRODUCT(AJ46:AK46,$AJ$4:$AK$4)</x:f>
        <x:v>4</x:v>
      </x:c>
      <x:c r="M46" s="36" t="n">
        <x:f>SUMPRODUCT(AL46:AP46,$AL$4:$AP$4)</x:f>
        <x:v>3</x:v>
      </x:c>
      <x:c r="N46" s="38" t="n">
        <x:v>0.5</x:v>
      </x:c>
      <x:c r="O46" s="38" t="n">
        <x:v>1</x:v>
      </x:c>
      <x:c r="P46" s="38" t="n">
        <x:v>0.5</x:v>
      </x:c>
      <x:c r="Q46" s="38" t="n">
        <x:v>1</x:v>
      </x:c>
      <x:c r="R46" s="38" t="n">
        <x:v>0.5</x:v>
      </x:c>
      <x:c r="S46" s="38" t="n">
        <x:v>1</x:v>
      </x:c>
      <x:c r="T46" s="38" t="n">
        <x:v>1</x:v>
      </x:c>
      <x:c r="U46" s="38" t="n">
        <x:v>1</x:v>
      </x:c>
      <x:c r="V46" s="38" t="n">
        <x:v>0.5</x:v>
      </x:c>
      <x:c r="W46" s="38" t="n">
        <x:v>0</x:v>
      </x:c>
      <x:c r="X46" s="38" t="n">
        <x:v>1</x:v>
      </x:c>
      <x:c r="Y46" s="38" t="n">
        <x:v>1</x:v>
      </x:c>
      <x:c r="Z46" s="38" t="n">
        <x:v>1</x:v>
      </x:c>
      <x:c r="AA46" s="38" t="n">
        <x:v>1</x:v>
      </x:c>
      <x:c r="AB46" s="38" t="n">
        <x:v>1</x:v>
      </x:c>
      <x:c r="AC46" s="38" t="n">
        <x:v>1</x:v>
      </x:c>
      <x:c r="AD46" s="38" t="n">
        <x:v>1</x:v>
      </x:c>
      <x:c r="AE46" s="38" t="n">
        <x:v>0.5</x:v>
      </x:c>
      <x:c r="AF46" s="38" t="n">
        <x:v>0.5</x:v>
      </x:c>
      <x:c r="AG46" s="38" t="n">
        <x:v>0</x:v>
      </x:c>
      <x:c r="AH46" s="38" t="n">
        <x:v>0</x:v>
      </x:c>
      <x:c r="AI46" s="38" t="n">
        <x:v>0.5</x:v>
      </x:c>
      <x:c r="AJ46" s="38" t="n">
        <x:v>1</x:v>
      </x:c>
      <x:c r="AK46" s="38" t="n">
        <x:v>0</x:v>
      </x:c>
      <x:c r="AL46" s="38" t="n">
        <x:v>0.5</x:v>
      </x:c>
      <x:c r="AM46" s="38" t="n">
        <x:v>0.5</x:v>
      </x:c>
      <x:c r="AN46" s="38" t="n">
        <x:v>1</x:v>
      </x:c>
      <x:c r="AO46" s="38" t="n">
        <x:v>1</x:v>
      </x:c>
      <x:c r="AP46" s="38" t="n">
        <x:v>0</x:v>
      </x:c>
      <x:c r="AQ46" s="28" t="str">
        <x:v>物理积分约21.222，对照累计27.060；左右端点、冰当量替代均不足弥合。解释仍取决于列含义。</x:v>
      </x:c>
      <x:c r="AR46" s="28" t="str">
        <x:v>https://raw.githubusercontent.com/ZYDTR/truthinsightbench-dwf-scoring/main/runs/EarthScience_03_ice_core_event_structure/workspace/output/Result.md</x:v>
      </x:c>
      <x:c r="AS46" s="28" t="str">
        <x:v>待核验；暂不计入</x:v>
      </x:c>
    </x:row>
    <x:row r="47" ht="65" customHeight="1">
      <x:c r="A47" s="14" t="n">
        <x:v>42</x:v>
      </x:c>
      <x:c r="B47" s="14" t="str">
        <x:v>EarthScience_03_ice_core_event_structure</x:v>
      </x:c>
      <x:c r="C47" s="14" t="str">
        <x:v>F3</x:v>
      </x:c>
      <x:c r="D47" s="28" t="str">
        <x:v>背景硫酸盐的深度趋势较弱</x:v>
      </x:c>
      <x:c r="E47" s="14" t="str">
        <x:v>G3</x:v>
      </x:c>
      <x:c r="F47" s="14" t="n">
        <x:v>0</x:v>
      </x:c>
      <x:c r="G47" s="36" t="n">
        <x:f>SUMPRODUCT(N47:AP47,$N$4:$AP$4)</x:f>
        <x:v>62.5</x:v>
      </x:c>
      <x:c r="H47" s="36" t="n">
        <x:f>SUMPRODUCT(N47:U47,$N$4:$U$4)</x:f>
        <x:v>28.5</x:v>
      </x:c>
      <x:c r="I47" s="36" t="n">
        <x:f>SUMPRODUCT(V47:Z47,$V$4:$Z$4)</x:f>
        <x:v>12</x:v>
      </x:c>
      <x:c r="J47" s="36" t="n">
        <x:f>SUMPRODUCT(AA47:AE47,$AA$4:$AE$4)</x:f>
        <x:v>13.5</x:v>
      </x:c>
      <x:c r="K47" s="36" t="n">
        <x:f>SUMPRODUCT(AF47:AI47,$AF$4:$AI$4)</x:f>
        <x:v>2</x:v>
      </x:c>
      <x:c r="L47" s="36" t="n">
        <x:f>SUMPRODUCT(AJ47:AK47,$AJ$4:$AK$4)</x:f>
        <x:v>4</x:v>
      </x:c>
      <x:c r="M47" s="36" t="n">
        <x:f>SUMPRODUCT(AL47:AP47,$AL$4:$AP$4)</x:f>
        <x:v>2.5</x:v>
      </x:c>
      <x:c r="N47" s="38" t="n">
        <x:v>0.5</x:v>
      </x:c>
      <x:c r="O47" s="38" t="n">
        <x:v>1</x:v>
      </x:c>
      <x:c r="P47" s="38" t="n">
        <x:v>0.5</x:v>
      </x:c>
      <x:c r="Q47" s="38" t="n">
        <x:v>1</x:v>
      </x:c>
      <x:c r="R47" s="38" t="n">
        <x:v>0.5</x:v>
      </x:c>
      <x:c r="S47" s="38" t="n">
        <x:v>0.5</x:v>
      </x:c>
      <x:c r="T47" s="38" t="n">
        <x:v>0.5</x:v>
      </x:c>
      <x:c r="U47" s="38" t="n">
        <x:v>1</x:v>
      </x:c>
      <x:c r="V47" s="38" t="n">
        <x:v>1</x:v>
      </x:c>
      <x:c r="W47" s="38" t="n">
        <x:v>0</x:v>
      </x:c>
      <x:c r="X47" s="38" t="n">
        <x:v>1</x:v>
      </x:c>
      <x:c r="Y47" s="38" t="n">
        <x:v>1</x:v>
      </x:c>
      <x:c r="Z47" s="38" t="n">
        <x:v>1</x:v>
      </x:c>
      <x:c r="AA47" s="38" t="n">
        <x:v>1</x:v>
      </x:c>
      <x:c r="AB47" s="38" t="n">
        <x:v>1</x:v>
      </x:c>
      <x:c r="AC47" s="38" t="n">
        <x:v>1</x:v>
      </x:c>
      <x:c r="AD47" s="38" t="n">
        <x:v>1</x:v>
      </x:c>
      <x:c r="AE47" s="38" t="n">
        <x:v>0.5</x:v>
      </x:c>
      <x:c r="AF47" s="38" t="n">
        <x:v>0.5</x:v>
      </x:c>
      <x:c r="AG47" s="38" t="n">
        <x:v>0</x:v>
      </x:c>
      <x:c r="AH47" s="38" t="n">
        <x:v>0</x:v>
      </x:c>
      <x:c r="AI47" s="38" t="n">
        <x:v>0.5</x:v>
      </x:c>
      <x:c r="AJ47" s="38" t="n">
        <x:v>1</x:v>
      </x:c>
      <x:c r="AK47" s="38" t="n">
        <x:v>0</x:v>
      </x:c>
      <x:c r="AL47" s="38" t="n">
        <x:v>1</x:v>
      </x:c>
      <x:c r="AM47" s="38" t="n">
        <x:v>0.5</x:v>
      </x:c>
      <x:c r="AN47" s="38" t="n">
        <x:v>1</x:v>
      </x:c>
      <x:c r="AO47" s="38" t="n">
        <x:v>0</x:v>
      </x:c>
      <x:c r="AP47" s="38" t="n">
        <x:v>0</x:v>
      </x:c>
      <x:c r="AQ47" s="28" t="str">
        <x:v>GLS和分块检验不支持强趋势，正对照有价值；80%功效界不等于已排除某幅度效应。</x:v>
      </x:c>
      <x:c r="AR47" s="28" t="str">
        <x:v>https://raw.githubusercontent.com/ZYDTR/truthinsightbench-dwf-scoring/main/runs/EarthScience_03_ice_core_event_structure/workspace/output/Result.md</x:v>
      </x:c>
      <x:c r="AS47" s="28" t="str">
        <x:v>待核验；暂不计入</x:v>
      </x:c>
    </x:row>
    <x:row r="48" ht="65" customHeight="1">
      <x:c r="A48" s="14" t="n">
        <x:v>43</x:v>
      </x:c>
      <x:c r="B48" s="14" t="str">
        <x:v>EarthScience_03_ice_core_event_structure</x:v>
      </x:c>
      <x:c r="C48" s="14" t="str">
        <x:v>F4</x:v>
      </x:c>
      <x:c r="D48" s="28" t="str">
        <x:v>事件数量对检测合同高度敏感</x:v>
      </x:c>
      <x:c r="E48" s="14" t="str">
        <x:v>G2</x:v>
      </x:c>
      <x:c r="F48" s="14" t="n">
        <x:v>0</x:v>
      </x:c>
      <x:c r="G48" s="36" t="n">
        <x:f>SUMPRODUCT(N48:AP48,$N$4:$AP$4)</x:f>
        <x:v>67</x:v>
      </x:c>
      <x:c r="H48" s="36" t="n">
        <x:f>SUMPRODUCT(N48:U48,$N$4:$U$4)</x:f>
        <x:v>32.5</x:v>
      </x:c>
      <x:c r="I48" s="36" t="n">
        <x:f>SUMPRODUCT(V48:Z48,$V$4:$Z$4)</x:f>
        <x:v>12</x:v>
      </x:c>
      <x:c r="J48" s="36" t="n">
        <x:f>SUMPRODUCT(AA48:AE48,$AA$4:$AE$4)</x:f>
        <x:v>13.5</x:v>
      </x:c>
      <x:c r="K48" s="36" t="n">
        <x:f>SUMPRODUCT(AF48:AI48,$AF$4:$AI$4)</x:f>
        <x:v>2</x:v>
      </x:c>
      <x:c r="L48" s="36" t="n">
        <x:f>SUMPRODUCT(AJ48:AK48,$AJ$4:$AK$4)</x:f>
        <x:v>4</x:v>
      </x:c>
      <x:c r="M48" s="36" t="n">
        <x:f>SUMPRODUCT(AL48:AP48,$AL$4:$AP$4)</x:f>
        <x:v>3</x:v>
      </x:c>
      <x:c r="N48" s="38" t="n">
        <x:v>0.5</x:v>
      </x:c>
      <x:c r="O48" s="38" t="n">
        <x:v>1</x:v>
      </x:c>
      <x:c r="P48" s="38" t="n">
        <x:v>0.5</x:v>
      </x:c>
      <x:c r="Q48" s="38" t="n">
        <x:v>1</x:v>
      </x:c>
      <x:c r="R48" s="38" t="n">
        <x:v>0.5</x:v>
      </x:c>
      <x:c r="S48" s="38" t="n">
        <x:v>0.5</x:v>
      </x:c>
      <x:c r="T48" s="38" t="n">
        <x:v>1</x:v>
      </x:c>
      <x:c r="U48" s="38" t="n">
        <x:v>1</x:v>
      </x:c>
      <x:c r="V48" s="38" t="n">
        <x:v>1</x:v>
      </x:c>
      <x:c r="W48" s="38" t="n">
        <x:v>0</x:v>
      </x:c>
      <x:c r="X48" s="38" t="n">
        <x:v>1</x:v>
      </x:c>
      <x:c r="Y48" s="38" t="n">
        <x:v>1</x:v>
      </x:c>
      <x:c r="Z48" s="38" t="n">
        <x:v>1</x:v>
      </x:c>
      <x:c r="AA48" s="38" t="n">
        <x:v>1</x:v>
      </x:c>
      <x:c r="AB48" s="38" t="n">
        <x:v>1</x:v>
      </x:c>
      <x:c r="AC48" s="38" t="n">
        <x:v>1</x:v>
      </x:c>
      <x:c r="AD48" s="38" t="n">
        <x:v>1</x:v>
      </x:c>
      <x:c r="AE48" s="38" t="n">
        <x:v>0.5</x:v>
      </x:c>
      <x:c r="AF48" s="38" t="n">
        <x:v>0.5</x:v>
      </x:c>
      <x:c r="AG48" s="38" t="n">
        <x:v>0</x:v>
      </x:c>
      <x:c r="AH48" s="38" t="n">
        <x:v>0</x:v>
      </x:c>
      <x:c r="AI48" s="38" t="n">
        <x:v>0.5</x:v>
      </x:c>
      <x:c r="AJ48" s="38" t="n">
        <x:v>1</x:v>
      </x:c>
      <x:c r="AK48" s="38" t="n">
        <x:v>0</x:v>
      </x:c>
      <x:c r="AL48" s="38" t="n">
        <x:v>0.5</x:v>
      </x:c>
      <x:c r="AM48" s="38" t="n">
        <x:v>0.5</x:v>
      </x:c>
      <x:c r="AN48" s="38" t="n">
        <x:v>1</x:v>
      </x:c>
      <x:c r="AO48" s="38" t="n">
        <x:v>1</x:v>
      </x:c>
      <x:c r="AP48" s="38" t="n">
        <x:v>0</x:v>
      </x:c>
      <x:c r="AQ48" s="28" t="str">
        <x:v>720种设置可产生极不一致的事件数量；位置富集不等于恢复固定事件目录。</x:v>
      </x:c>
      <x:c r="AR48" s="28" t="str">
        <x:v>https://raw.githubusercontent.com/ZYDTR/truthinsightbench-dwf-scoring/main/runs/EarthScience_03_ice_core_event_structure/workspace/output/Result.md</x:v>
      </x:c>
      <x:c r="AS48" s="28" t="str">
        <x:v>待核验；暂不计入</x:v>
      </x:c>
    </x:row>
    <x:row r="49" ht="65" customHeight="1">
      <x:c r="A49" s="14" t="n">
        <x:v>44</x:v>
      </x:c>
      <x:c r="B49" s="14" t="str">
        <x:v>EarthScience_03_ice_core_event_structure</x:v>
      </x:c>
      <x:c r="C49" s="14" t="str">
        <x:v>F5</x:v>
      </x:c>
      <x:c r="D49" s="28" t="str">
        <x:v>已命名与未命名事件差异未定</x:v>
      </x:c>
      <x:c r="E49" s="14" t="str">
        <x:v>G4</x:v>
      </x:c>
      <x:c r="F49" s="14" t="n">
        <x:v>0</x:v>
      </x:c>
      <x:c r="G49" s="36" t="n">
        <x:f>SUMPRODUCT(N49:AP49,$N$4:$AP$4)</x:f>
        <x:v>59</x:v>
      </x:c>
      <x:c r="H49" s="36" t="n">
        <x:f>SUMPRODUCT(N49:U49,$N$4:$U$4)</x:f>
        <x:v>28.5</x:v>
      </x:c>
      <x:c r="I49" s="36" t="n">
        <x:f>SUMPRODUCT(V49:Z49,$V$4:$Z$4)</x:f>
        <x:v>12</x:v>
      </x:c>
      <x:c r="J49" s="36" t="n">
        <x:f>SUMPRODUCT(AA49:AE49,$AA$4:$AE$4)</x:f>
        <x:v>12</x:v>
      </x:c>
      <x:c r="K49" s="36" t="n">
        <x:f>SUMPRODUCT(AF49:AI49,$AF$4:$AI$4)</x:f>
        <x:v>0</x:v>
      </x:c>
      <x:c r="L49" s="36" t="n">
        <x:f>SUMPRODUCT(AJ49:AK49,$AJ$4:$AK$4)</x:f>
        <x:v>4</x:v>
      </x:c>
      <x:c r="M49" s="36" t="n">
        <x:f>SUMPRODUCT(AL49:AP49,$AL$4:$AP$4)</x:f>
        <x:v>2.5</x:v>
      </x:c>
      <x:c r="N49" s="38" t="n">
        <x:v>0.5</x:v>
      </x:c>
      <x:c r="O49" s="38" t="n">
        <x:v>1</x:v>
      </x:c>
      <x:c r="P49" s="38" t="n">
        <x:v>0.5</x:v>
      </x:c>
      <x:c r="Q49" s="38" t="n">
        <x:v>1</x:v>
      </x:c>
      <x:c r="R49" s="38" t="n">
        <x:v>0.5</x:v>
      </x:c>
      <x:c r="S49" s="38" t="n">
        <x:v>0.5</x:v>
      </x:c>
      <x:c r="T49" s="38" t="n">
        <x:v>0.5</x:v>
      </x:c>
      <x:c r="U49" s="38" t="n">
        <x:v>1</x:v>
      </x:c>
      <x:c r="V49" s="38" t="n">
        <x:v>1</x:v>
      </x:c>
      <x:c r="W49" s="38" t="n">
        <x:v>0</x:v>
      </x:c>
      <x:c r="X49" s="38" t="n">
        <x:v>1</x:v>
      </x:c>
      <x:c r="Y49" s="38" t="n">
        <x:v>1</x:v>
      </x:c>
      <x:c r="Z49" s="38" t="n">
        <x:v>1</x:v>
      </x:c>
      <x:c r="AA49" s="38" t="n">
        <x:v>1</x:v>
      </x:c>
      <x:c r="AB49" s="38" t="n">
        <x:v>0.5</x:v>
      </x:c>
      <x:c r="AC49" s="38" t="n">
        <x:v>1</x:v>
      </x:c>
      <x:c r="AD49" s="38" t="n">
        <x:v>1</x:v>
      </x:c>
      <x:c r="AE49" s="38" t="n">
        <x:v>0.5</x:v>
      </x:c>
      <x:c r="AF49" s="38" t="n">
        <x:v>0</x:v>
      </x:c>
      <x:c r="AG49" s="38" t="n">
        <x:v>0</x:v>
      </x:c>
      <x:c r="AH49" s="38" t="n">
        <x:v>0</x:v>
      </x:c>
      <x:c r="AI49" s="38" t="n">
        <x:v>0</x:v>
      </x:c>
      <x:c r="AJ49" s="38" t="n">
        <x:v>1</x:v>
      </x:c>
      <x:c r="AK49" s="38" t="n">
        <x:v>0</x:v>
      </x:c>
      <x:c r="AL49" s="38" t="n">
        <x:v>1</x:v>
      </x:c>
      <x:c r="AM49" s="38" t="n">
        <x:v>0.5</x:v>
      </x:c>
      <x:c r="AN49" s="38" t="n">
        <x:v>1</x:v>
      </x:c>
      <x:c r="AO49" s="38" t="n">
        <x:v>0</x:v>
      </x:c>
      <x:c r="AP49" s="38" t="n">
        <x:v>0</x:v>
      </x:c>
      <x:c r="AQ49" s="28" t="str">
        <x:v>精确检验和宽区间不支持稳定组间幅度差；标题中的位置差异未获后续检验支持。</x:v>
      </x:c>
      <x:c r="AR49" s="28" t="str">
        <x:v>https://raw.githubusercontent.com/ZYDTR/truthinsightbench-dwf-scoring/main/runs/EarthScience_03_ice_core_event_structure/workspace/output/Result.md</x:v>
      </x:c>
      <x:c r="AS49" s="28" t="str">
        <x:v>待核验；暂不计入</x:v>
      </x:c>
    </x:row>
    <x:row r="50" ht="65" customHeight="1">
      <x:c r="A50" s="14" t="n">
        <x:v>45</x:v>
      </x:c>
      <x:c r="B50" s="14" t="str">
        <x:v>EarthScience_04_ocean_thermal_coupling</x:v>
      </x:c>
      <x:c r="C50" s="14" t="str">
        <x:v>F1</x:v>
      </x:c>
      <x:c r="D50" s="28" t="str">
        <x:v>约109千年的宽周期结构</x:v>
      </x:c>
      <x:c r="E50" s="14" t="str">
        <x:v>G5</x:v>
      </x:c>
      <x:c r="F50" s="14" t="n">
        <x:v>0</x:v>
      </x:c>
      <x:c r="G50" s="36" t="n">
        <x:f>SUMPRODUCT(N50:AP50,$N$4:$AP$4)</x:f>
        <x:v>64.5</x:v>
      </x:c>
      <x:c r="H50" s="36" t="n">
        <x:f>SUMPRODUCT(N50:U50,$N$4:$U$4)</x:f>
        <x:v>28.5</x:v>
      </x:c>
      <x:c r="I50" s="36" t="n">
        <x:f>SUMPRODUCT(V50:Z50,$V$4:$Z$4)</x:f>
        <x:v>12</x:v>
      </x:c>
      <x:c r="J50" s="36" t="n">
        <x:f>SUMPRODUCT(AA50:AE50,$AA$4:$AE$4)</x:f>
        <x:v>13.5</x:v>
      </x:c>
      <x:c r="K50" s="36" t="n">
        <x:f>SUMPRODUCT(AF50:AI50,$AF$4:$AI$4)</x:f>
        <x:v>4</x:v>
      </x:c>
      <x:c r="L50" s="36" t="n">
        <x:f>SUMPRODUCT(AJ50:AK50,$AJ$4:$AK$4)</x:f>
        <x:v>4</x:v>
      </x:c>
      <x:c r="M50" s="36" t="n">
        <x:f>SUMPRODUCT(AL50:AP50,$AL$4:$AP$4)</x:f>
        <x:v>2.5</x:v>
      </x:c>
      <x:c r="N50" s="38" t="n">
        <x:v>0.5</x:v>
      </x:c>
      <x:c r="O50" s="38" t="n">
        <x:v>1</x:v>
      </x:c>
      <x:c r="P50" s="38" t="n">
        <x:v>0.5</x:v>
      </x:c>
      <x:c r="Q50" s="38" t="n">
        <x:v>1</x:v>
      </x:c>
      <x:c r="R50" s="38" t="n">
        <x:v>0.5</x:v>
      </x:c>
      <x:c r="S50" s="38" t="n">
        <x:v>0.5</x:v>
      </x:c>
      <x:c r="T50" s="38" t="n">
        <x:v>0.5</x:v>
      </x:c>
      <x:c r="U50" s="38" t="n">
        <x:v>1</x:v>
      </x:c>
      <x:c r="V50" s="38" t="n">
        <x:v>1</x:v>
      </x:c>
      <x:c r="W50" s="38" t="n">
        <x:v>0</x:v>
      </x:c>
      <x:c r="X50" s="38" t="n">
        <x:v>1</x:v>
      </x:c>
      <x:c r="Y50" s="38" t="n">
        <x:v>1</x:v>
      </x:c>
      <x:c r="Z50" s="38" t="n">
        <x:v>1</x:v>
      </x:c>
      <x:c r="AA50" s="38" t="n">
        <x:v>1</x:v>
      </x:c>
      <x:c r="AB50" s="38" t="n">
        <x:v>1</x:v>
      </x:c>
      <x:c r="AC50" s="38" t="n">
        <x:v>1</x:v>
      </x:c>
      <x:c r="AD50" s="38" t="n">
        <x:v>1</x:v>
      </x:c>
      <x:c r="AE50" s="38" t="n">
        <x:v>0.5</x:v>
      </x:c>
      <x:c r="AF50" s="38" t="n">
        <x:v>1</x:v>
      </x:c>
      <x:c r="AG50" s="38" t="n">
        <x:v>0</x:v>
      </x:c>
      <x:c r="AH50" s="38" t="n">
        <x:v>0</x:v>
      </x:c>
      <x:c r="AI50" s="38" t="n">
        <x:v>1</x:v>
      </x:c>
      <x:c r="AJ50" s="38" t="n">
        <x:v>1</x:v>
      </x:c>
      <x:c r="AK50" s="38" t="n">
        <x:v>0</x:v>
      </x:c>
      <x:c r="AL50" s="38" t="n">
        <x:v>1</x:v>
      </x:c>
      <x:c r="AM50" s="38" t="n">
        <x:v>0.5</x:v>
      </x:c>
      <x:c r="AN50" s="38" t="n">
        <x:v>1</x:v>
      </x:c>
      <x:c r="AO50" s="38" t="n">
        <x:v>0</x:v>
      </x:c>
      <x:c r="AP50" s="38" t="n">
        <x:v>0</x:v>
      </x:c>
      <x:c r="AQ50" s="28" t="str">
        <x:v>年龄/深度两轴与AR(1)搜索支持宽结构，分箱与留出结果较弱；217千年并非109千年的二次谐波。</x:v>
      </x:c>
      <x:c r="AR50" s="28" t="str">
        <x:v>https://raw.githubusercontent.com/ZYDTR/truthinsightbench-dwf-scoring/main/runs/EarthScience_04_ocean_thermal_coupling/workspace/output/Result.md</x:v>
      </x:c>
      <x:c r="AS50" s="28" t="str">
        <x:v>待核验；暂不计入</x:v>
      </x:c>
    </x:row>
    <x:row r="51" ht="65" customHeight="1">
      <x:c r="A51" s="14" t="n">
        <x:v>46</x:v>
      </x:c>
      <x:c r="B51" s="14" t="str">
        <x:v>EarthScience_04_ocean_thermal_coupling</x:v>
      </x:c>
      <x:c r="C51" s="14" t="str">
        <x:v>F2</x:v>
      </x:c>
      <x:c r="D51" s="28" t="str">
        <x:v>双坐标相位吻合但并非独立重复</x:v>
      </x:c>
      <x:c r="E51" s="14" t="str">
        <x:v>G1</x:v>
      </x:c>
      <x:c r="F51" s="14" t="n">
        <x:v>0</x:v>
      </x:c>
      <x:c r="G51" s="36" t="n">
        <x:f>SUMPRODUCT(N51:AP51,$N$4:$AP$4)</x:f>
        <x:v>68.5</x:v>
      </x:c>
      <x:c r="H51" s="36" t="n">
        <x:f>SUMPRODUCT(N51:U51,$N$4:$U$4)</x:f>
        <x:v>32.5</x:v>
      </x:c>
      <x:c r="I51" s="36" t="n">
        <x:f>SUMPRODUCT(V51:Z51,$V$4:$Z$4)</x:f>
        <x:v>12</x:v>
      </x:c>
      <x:c r="J51" s="36" t="n">
        <x:f>SUMPRODUCT(AA51:AE51,$AA$4:$AE$4)</x:f>
        <x:v>13.5</x:v>
      </x:c>
      <x:c r="K51" s="36" t="n">
        <x:f>SUMPRODUCT(AF51:AI51,$AF$4:$AI$4)</x:f>
        <x:v>4</x:v>
      </x:c>
      <x:c r="L51" s="36" t="n">
        <x:f>SUMPRODUCT(AJ51:AK51,$AJ$4:$AK$4)</x:f>
        <x:v>4</x:v>
      </x:c>
      <x:c r="M51" s="36" t="n">
        <x:f>SUMPRODUCT(AL51:AP51,$AL$4:$AP$4)</x:f>
        <x:v>2.5</x:v>
      </x:c>
      <x:c r="N51" s="38" t="n">
        <x:v>0.5</x:v>
      </x:c>
      <x:c r="O51" s="38" t="n">
        <x:v>1</x:v>
      </x:c>
      <x:c r="P51" s="38" t="n">
        <x:v>0.5</x:v>
      </x:c>
      <x:c r="Q51" s="38" t="n">
        <x:v>1</x:v>
      </x:c>
      <x:c r="R51" s="38" t="n">
        <x:v>0.5</x:v>
      </x:c>
      <x:c r="S51" s="38" t="n">
        <x:v>0.5</x:v>
      </x:c>
      <x:c r="T51" s="38" t="n">
        <x:v>1</x:v>
      </x:c>
      <x:c r="U51" s="38" t="n">
        <x:v>1</x:v>
      </x:c>
      <x:c r="V51" s="38" t="n">
        <x:v>1</x:v>
      </x:c>
      <x:c r="W51" s="38" t="n">
        <x:v>0</x:v>
      </x:c>
      <x:c r="X51" s="38" t="n">
        <x:v>1</x:v>
      </x:c>
      <x:c r="Y51" s="38" t="n">
        <x:v>1</x:v>
      </x:c>
      <x:c r="Z51" s="38" t="n">
        <x:v>1</x:v>
      </x:c>
      <x:c r="AA51" s="38" t="n">
        <x:v>1</x:v>
      </x:c>
      <x:c r="AB51" s="38" t="n">
        <x:v>1</x:v>
      </x:c>
      <x:c r="AC51" s="38" t="n">
        <x:v>1</x:v>
      </x:c>
      <x:c r="AD51" s="38" t="n">
        <x:v>1</x:v>
      </x:c>
      <x:c r="AE51" s="38" t="n">
        <x:v>0.5</x:v>
      </x:c>
      <x:c r="AF51" s="38" t="n">
        <x:v>1</x:v>
      </x:c>
      <x:c r="AG51" s="38" t="n">
        <x:v>0</x:v>
      </x:c>
      <x:c r="AH51" s="38" t="n">
        <x:v>0</x:v>
      </x:c>
      <x:c r="AI51" s="38" t="n">
        <x:v>1</x:v>
      </x:c>
      <x:c r="AJ51" s="38" t="n">
        <x:v>1</x:v>
      </x:c>
      <x:c r="AK51" s="38" t="n">
        <x:v>0</x:v>
      </x:c>
      <x:c r="AL51" s="38" t="n">
        <x:v>1</x:v>
      </x:c>
      <x:c r="AM51" s="38" t="n">
        <x:v>0.5</x:v>
      </x:c>
      <x:c r="AN51" s="38" t="n">
        <x:v>1</x:v>
      </x:c>
      <x:c r="AO51" s="38" t="n">
        <x:v>0</x:v>
      </x:c>
      <x:c r="AP51" s="38" t="n">
        <x:v>0</x:v>
      </x:c>
      <x:c r="AQ51" s="28" t="str">
        <x:v>分离区段相位一致，并承认坐标高度共源和幅度随窗变化；不将重叠窗当新证据。</x:v>
      </x:c>
      <x:c r="AR51" s="28" t="str">
        <x:v>https://raw.githubusercontent.com/ZYDTR/truthinsightbench-dwf-scoring/main/runs/EarthScience_04_ocean_thermal_coupling/workspace/output/Result.md</x:v>
      </x:c>
      <x:c r="AS51" s="28" t="str">
        <x:v>待核验；暂不计入</x:v>
      </x:c>
    </x:row>
    <x:row r="52" ht="65" customHeight="1">
      <x:c r="A52" s="14" t="n">
        <x:v>47</x:v>
      </x:c>
      <x:c r="B52" s="14" t="str">
        <x:v>EarthScience_04_ocean_thermal_coupling</x:v>
      </x:c>
      <x:c r="C52" s="14" t="str">
        <x:v>F3</x:v>
      </x:c>
      <x:c r="D52" s="28" t="str">
        <x:v>年龄坐标差异局限于浅部</x:v>
      </x:c>
      <x:c r="E52" s="14" t="str">
        <x:v>G4</x:v>
      </x:c>
      <x:c r="F52" s="14" t="n">
        <x:v>0</x:v>
      </x:c>
      <x:c r="G52" s="36" t="n">
        <x:f>SUMPRODUCT(N52:AP52,$N$4:$AP$4)</x:f>
        <x:v>65.5</x:v>
      </x:c>
      <x:c r="H52" s="36" t="n">
        <x:f>SUMPRODUCT(N52:U52,$N$4:$U$4)</x:f>
        <x:v>32.5</x:v>
      </x:c>
      <x:c r="I52" s="36" t="n">
        <x:f>SUMPRODUCT(V52:Z52,$V$4:$Z$4)</x:f>
        <x:v>10.5</x:v>
      </x:c>
      <x:c r="J52" s="36" t="n">
        <x:f>SUMPRODUCT(AA52:AE52,$AA$4:$AE$4)</x:f>
        <x:v>13.5</x:v>
      </x:c>
      <x:c r="K52" s="36" t="n">
        <x:f>SUMPRODUCT(AF52:AI52,$AF$4:$AI$4)</x:f>
        <x:v>2</x:v>
      </x:c>
      <x:c r="L52" s="36" t="n">
        <x:f>SUMPRODUCT(AJ52:AK52,$AJ$4:$AK$4)</x:f>
        <x:v>4</x:v>
      </x:c>
      <x:c r="M52" s="36" t="n">
        <x:f>SUMPRODUCT(AL52:AP52,$AL$4:$AP$4)</x:f>
        <x:v>3</x:v>
      </x:c>
      <x:c r="N52" s="38" t="n">
        <x:v>0.5</x:v>
      </x:c>
      <x:c r="O52" s="38" t="n">
        <x:v>1</x:v>
      </x:c>
      <x:c r="P52" s="38" t="n">
        <x:v>0.5</x:v>
      </x:c>
      <x:c r="Q52" s="38" t="n">
        <x:v>1</x:v>
      </x:c>
      <x:c r="R52" s="38" t="n">
        <x:v>0.5</x:v>
      </x:c>
      <x:c r="S52" s="38" t="n">
        <x:v>0.5</x:v>
      </x:c>
      <x:c r="T52" s="38" t="n">
        <x:v>1</x:v>
      </x:c>
      <x:c r="U52" s="38" t="n">
        <x:v>1</x:v>
      </x:c>
      <x:c r="V52" s="38" t="n">
        <x:v>0.5</x:v>
      </x:c>
      <x:c r="W52" s="38" t="n">
        <x:v>0</x:v>
      </x:c>
      <x:c r="X52" s="38" t="n">
        <x:v>1</x:v>
      </x:c>
      <x:c r="Y52" s="38" t="n">
        <x:v>1</x:v>
      </x:c>
      <x:c r="Z52" s="38" t="n">
        <x:v>1</x:v>
      </x:c>
      <x:c r="AA52" s="38" t="n">
        <x:v>1</x:v>
      </x:c>
      <x:c r="AB52" s="38" t="n">
        <x:v>1</x:v>
      </x:c>
      <x:c r="AC52" s="38" t="n">
        <x:v>1</x:v>
      </x:c>
      <x:c r="AD52" s="38" t="n">
        <x:v>1</x:v>
      </x:c>
      <x:c r="AE52" s="38" t="n">
        <x:v>0.5</x:v>
      </x:c>
      <x:c r="AF52" s="38" t="n">
        <x:v>0.5</x:v>
      </x:c>
      <x:c r="AG52" s="38" t="n">
        <x:v>0</x:v>
      </x:c>
      <x:c r="AH52" s="38" t="n">
        <x:v>0</x:v>
      </x:c>
      <x:c r="AI52" s="38" t="n">
        <x:v>0.5</x:v>
      </x:c>
      <x:c r="AJ52" s="38" t="n">
        <x:v>1</x:v>
      </x:c>
      <x:c r="AK52" s="38" t="n">
        <x:v>0</x:v>
      </x:c>
      <x:c r="AL52" s="38" t="n">
        <x:v>0.5</x:v>
      </x:c>
      <x:c r="AM52" s="38" t="n">
        <x:v>0.5</x:v>
      </x:c>
      <x:c r="AN52" s="38" t="n">
        <x:v>1</x:v>
      </x:c>
      <x:c r="AO52" s="38" t="n">
        <x:v>1</x:v>
      </x:c>
      <x:c r="AP52" s="38" t="n">
        <x:v>0</x:v>
      </x:c>
      <x:c r="AQ52" s="28" t="str">
        <x:v>删浅部和对抗性年龄处理定位了坐标敏感边界；局部一致不能外推所有变换稳健。</x:v>
      </x:c>
      <x:c r="AR52" s="28" t="str">
        <x:v>https://raw.githubusercontent.com/ZYDTR/truthinsightbench-dwf-scoring/main/runs/EarthScience_04_ocean_thermal_coupling/workspace/output/Result.md</x:v>
      </x:c>
      <x:c r="AS52" s="28" t="str">
        <x:v>待核验；暂不计入</x:v>
      </x:c>
    </x:row>
    <x:row r="53" ht="65" customHeight="1">
      <x:c r="A53" s="14" t="n">
        <x:v>48</x:v>
      </x:c>
      <x:c r="B53" s="14" t="str">
        <x:v>EarthScience_04_ocean_thermal_coupling</x:v>
      </x:c>
      <x:c r="C53" s="14" t="str">
        <x:v>F4</x:v>
      </x:c>
      <x:c r="D53" s="28" t="str">
        <x:v>沉积速率尖峰依赖年龄差分处理</x:v>
      </x:c>
      <x:c r="E53" s="14" t="str">
        <x:v>G3</x:v>
      </x:c>
      <x:c r="F53" s="14" t="n">
        <x:v>0</x:v>
      </x:c>
      <x:c r="G53" s="36" t="n">
        <x:f>SUMPRODUCT(N53:AP53,$N$4:$AP$4)</x:f>
        <x:v>67</x:v>
      </x:c>
      <x:c r="H53" s="36" t="n">
        <x:f>SUMPRODUCT(N53:U53,$N$4:$U$4)</x:f>
        <x:v>32.5</x:v>
      </x:c>
      <x:c r="I53" s="36" t="n">
        <x:f>SUMPRODUCT(V53:Z53,$V$4:$Z$4)</x:f>
        <x:v>12</x:v>
      </x:c>
      <x:c r="J53" s="36" t="n">
        <x:f>SUMPRODUCT(AA53:AE53,$AA$4:$AE$4)</x:f>
        <x:v>13.5</x:v>
      </x:c>
      <x:c r="K53" s="36" t="n">
        <x:f>SUMPRODUCT(AF53:AI53,$AF$4:$AI$4)</x:f>
        <x:v>2</x:v>
      </x:c>
      <x:c r="L53" s="36" t="n">
        <x:f>SUMPRODUCT(AJ53:AK53,$AJ$4:$AK$4)</x:f>
        <x:v>4</x:v>
      </x:c>
      <x:c r="M53" s="36" t="n">
        <x:f>SUMPRODUCT(AL53:AP53,$AL$4:$AP$4)</x:f>
        <x:v>3</x:v>
      </x:c>
      <x:c r="N53" s="38" t="n">
        <x:v>0.5</x:v>
      </x:c>
      <x:c r="O53" s="38" t="n">
        <x:v>1</x:v>
      </x:c>
      <x:c r="P53" s="38" t="n">
        <x:v>0.5</x:v>
      </x:c>
      <x:c r="Q53" s="38" t="n">
        <x:v>1</x:v>
      </x:c>
      <x:c r="R53" s="38" t="n">
        <x:v>0.5</x:v>
      </x:c>
      <x:c r="S53" s="38" t="n">
        <x:v>0.5</x:v>
      </x:c>
      <x:c r="T53" s="38" t="n">
        <x:v>1</x:v>
      </x:c>
      <x:c r="U53" s="38" t="n">
        <x:v>1</x:v>
      </x:c>
      <x:c r="V53" s="38" t="n">
        <x:v>1</x:v>
      </x:c>
      <x:c r="W53" s="38" t="n">
        <x:v>0</x:v>
      </x:c>
      <x:c r="X53" s="38" t="n">
        <x:v>1</x:v>
      </x:c>
      <x:c r="Y53" s="38" t="n">
        <x:v>1</x:v>
      </x:c>
      <x:c r="Z53" s="38" t="n">
        <x:v>1</x:v>
      </x:c>
      <x:c r="AA53" s="38" t="n">
        <x:v>1</x:v>
      </x:c>
      <x:c r="AB53" s="38" t="n">
        <x:v>1</x:v>
      </x:c>
      <x:c r="AC53" s="38" t="n">
        <x:v>1</x:v>
      </x:c>
      <x:c r="AD53" s="38" t="n">
        <x:v>1</x:v>
      </x:c>
      <x:c r="AE53" s="38" t="n">
        <x:v>0.5</x:v>
      </x:c>
      <x:c r="AF53" s="38" t="n">
        <x:v>0.5</x:v>
      </x:c>
      <x:c r="AG53" s="38" t="n">
        <x:v>0</x:v>
      </x:c>
      <x:c r="AH53" s="38" t="n">
        <x:v>0</x:v>
      </x:c>
      <x:c r="AI53" s="38" t="n">
        <x:v>0.5</x:v>
      </x:c>
      <x:c r="AJ53" s="38" t="n">
        <x:v>1</x:v>
      </x:c>
      <x:c r="AK53" s="38" t="n">
        <x:v>0</x:v>
      </x:c>
      <x:c r="AL53" s="38" t="n">
        <x:v>0.5</x:v>
      </x:c>
      <x:c r="AM53" s="38" t="n">
        <x:v>0.5</x:v>
      </x:c>
      <x:c r="AN53" s="38" t="n">
        <x:v>1</x:v>
      </x:c>
      <x:c r="AO53" s="38" t="n">
        <x:v>1</x:v>
      </x:c>
      <x:c r="AP53" s="38" t="n">
        <x:v>0</x:v>
      </x:c>
      <x:c r="AQ53" s="28" t="str">
        <x:v>不同网格估计与原始平滑不一致，支持加工边界；不能直接宣称快速沉积事件。</x:v>
      </x:c>
      <x:c r="AR53" s="28" t="str">
        <x:v>https://raw.githubusercontent.com/ZYDTR/truthinsightbench-dwf-scoring/main/runs/EarthScience_04_ocean_thermal_coupling/workspace/output/Result.md</x:v>
      </x:c>
      <x:c r="AS53" s="28" t="str">
        <x:v>待核验；暂不计入</x:v>
      </x:c>
    </x:row>
    <x:row r="54" ht="65" customHeight="1">
      <x:c r="A54" s="14" t="n">
        <x:v>49</x:v>
      </x:c>
      <x:c r="B54" s="14" t="str">
        <x:v>EarthScience_04_ocean_thermal_coupling</x:v>
      </x:c>
      <x:c r="C54" s="14" t="str">
        <x:v>F5</x:v>
      </x:c>
      <x:c r="D54" s="28" t="str">
        <x:v>变化率耦合主要来自共同分母</x:v>
      </x:c>
      <x:c r="E54" s="14" t="str">
        <x:v>G2</x:v>
      </x:c>
      <x:c r="F54" s="14" t="n">
        <x:v>0</x:v>
      </x:c>
      <x:c r="G54" s="36" t="n">
        <x:f>SUMPRODUCT(N54:AP54,$N$4:$AP$4)</x:f>
        <x:v>68.5</x:v>
      </x:c>
      <x:c r="H54" s="36" t="n">
        <x:f>SUMPRODUCT(N54:U54,$N$4:$U$4)</x:f>
        <x:v>32.5</x:v>
      </x:c>
      <x:c r="I54" s="36" t="n">
        <x:f>SUMPRODUCT(V54:Z54,$V$4:$Z$4)</x:f>
        <x:v>12</x:v>
      </x:c>
      <x:c r="J54" s="36" t="n">
        <x:f>SUMPRODUCT(AA54:AE54,$AA$4:$AE$4)</x:f>
        <x:v>13.5</x:v>
      </x:c>
      <x:c r="K54" s="36" t="n">
        <x:f>SUMPRODUCT(AF54:AI54,$AF$4:$AI$4)</x:f>
        <x:v>4</x:v>
      </x:c>
      <x:c r="L54" s="36" t="n">
        <x:f>SUMPRODUCT(AJ54:AK54,$AJ$4:$AK$4)</x:f>
        <x:v>4</x:v>
      </x:c>
      <x:c r="M54" s="36" t="n">
        <x:f>SUMPRODUCT(AL54:AP54,$AL$4:$AP$4)</x:f>
        <x:v>2.5</x:v>
      </x:c>
      <x:c r="N54" s="38" t="n">
        <x:v>0.5</x:v>
      </x:c>
      <x:c r="O54" s="38" t="n">
        <x:v>1</x:v>
      </x:c>
      <x:c r="P54" s="38" t="n">
        <x:v>0.5</x:v>
      </x:c>
      <x:c r="Q54" s="38" t="n">
        <x:v>1</x:v>
      </x:c>
      <x:c r="R54" s="38" t="n">
        <x:v>0.5</x:v>
      </x:c>
      <x:c r="S54" s="38" t="n">
        <x:v>0.5</x:v>
      </x:c>
      <x:c r="T54" s="38" t="n">
        <x:v>1</x:v>
      </x:c>
      <x:c r="U54" s="38" t="n">
        <x:v>1</x:v>
      </x:c>
      <x:c r="V54" s="38" t="n">
        <x:v>1</x:v>
      </x:c>
      <x:c r="W54" s="38" t="n">
        <x:v>0</x:v>
      </x:c>
      <x:c r="X54" s="38" t="n">
        <x:v>1</x:v>
      </x:c>
      <x:c r="Y54" s="38" t="n">
        <x:v>1</x:v>
      </x:c>
      <x:c r="Z54" s="38" t="n">
        <x:v>1</x:v>
      </x:c>
      <x:c r="AA54" s="38" t="n">
        <x:v>1</x:v>
      </x:c>
      <x:c r="AB54" s="38" t="n">
        <x:v>1</x:v>
      </x:c>
      <x:c r="AC54" s="38" t="n">
        <x:v>1</x:v>
      </x:c>
      <x:c r="AD54" s="38" t="n">
        <x:v>1</x:v>
      </x:c>
      <x:c r="AE54" s="38" t="n">
        <x:v>0.5</x:v>
      </x:c>
      <x:c r="AF54" s="38" t="n">
        <x:v>1</x:v>
      </x:c>
      <x:c r="AG54" s="38" t="n">
        <x:v>0</x:v>
      </x:c>
      <x:c r="AH54" s="38" t="n">
        <x:v>0</x:v>
      </x:c>
      <x:c r="AI54" s="38" t="n">
        <x:v>1</x:v>
      </x:c>
      <x:c r="AJ54" s="38" t="n">
        <x:v>1</x:v>
      </x:c>
      <x:c r="AK54" s="38" t="n">
        <x:v>0</x:v>
      </x:c>
      <x:c r="AL54" s="38" t="n">
        <x:v>1</x:v>
      </x:c>
      <x:c r="AM54" s="38" t="n">
        <x:v>0.5</x:v>
      </x:c>
      <x:c r="AN54" s="38" t="n">
        <x:v>1</x:v>
      </x:c>
      <x:c r="AO54" s="38" t="n">
        <x:v>0</x:v>
      </x:c>
      <x:c r="AP54" s="38" t="n">
        <x:v>0</x:v>
      </x:c>
      <x:c r="AQ54" s="28" t="str">
        <x:v>保结构零模型复现多数正相关；同时保留速率与水平的负相关，区分两个不同命题。</x:v>
      </x:c>
      <x:c r="AR54" s="28" t="str">
        <x:v>https://raw.githubusercontent.com/ZYDTR/truthinsightbench-dwf-scoring/main/runs/EarthScience_04_ocean_thermal_coupling/workspace/output/Result.md</x:v>
      </x:c>
      <x:c r="AS54" s="28" t="str">
        <x:v>待核验；暂不计入</x:v>
      </x:c>
    </x:row>
    <x:row r="55" ht="65" customHeight="1">
      <x:c r="A55" s="14" t="n">
        <x:v>50</x:v>
      </x:c>
      <x:c r="B55" s="14" t="str">
        <x:v>Energy_01_photocatalytic_tradeoffs</x:v>
      </x:c>
      <x:c r="C55" s="14" t="str">
        <x:v>F1</x:v>
      </x:c>
      <x:c r="D55" s="28" t="str">
        <x:v>动力学形状分组可辨而函数形式未定</x:v>
      </x:c>
      <x:c r="E55" s="14" t="str">
        <x:v>G1</x:v>
      </x:c>
      <x:c r="F55" s="14" t="n">
        <x:v>0</x:v>
      </x:c>
      <x:c r="G55" s="36" t="n">
        <x:f>SUMPRODUCT(N55:AP55,$N$4:$AP$4)</x:f>
        <x:v>68.5</x:v>
      </x:c>
      <x:c r="H55" s="36" t="n">
        <x:f>SUMPRODUCT(N55:U55,$N$4:$U$4)</x:f>
        <x:v>32.5</x:v>
      </x:c>
      <x:c r="I55" s="36" t="n">
        <x:f>SUMPRODUCT(V55:Z55,$V$4:$Z$4)</x:f>
        <x:v>12</x:v>
      </x:c>
      <x:c r="J55" s="36" t="n">
        <x:f>SUMPRODUCT(AA55:AE55,$AA$4:$AE$4)</x:f>
        <x:v>13.5</x:v>
      </x:c>
      <x:c r="K55" s="36" t="n">
        <x:f>SUMPRODUCT(AF55:AI55,$AF$4:$AI$4)</x:f>
        <x:v>4</x:v>
      </x:c>
      <x:c r="L55" s="36" t="n">
        <x:f>SUMPRODUCT(AJ55:AK55,$AJ$4:$AK$4)</x:f>
        <x:v>4</x:v>
      </x:c>
      <x:c r="M55" s="36" t="n">
        <x:f>SUMPRODUCT(AL55:AP55,$AL$4:$AP$4)</x:f>
        <x:v>2.5</x:v>
      </x:c>
      <x:c r="N55" s="38" t="n">
        <x:v>0.5</x:v>
      </x:c>
      <x:c r="O55" s="38" t="n">
        <x:v>1</x:v>
      </x:c>
      <x:c r="P55" s="38" t="n">
        <x:v>0.5</x:v>
      </x:c>
      <x:c r="Q55" s="38" t="n">
        <x:v>1</x:v>
      </x:c>
      <x:c r="R55" s="38" t="n">
        <x:v>0.5</x:v>
      </x:c>
      <x:c r="S55" s="38" t="n">
        <x:v>0.5</x:v>
      </x:c>
      <x:c r="T55" s="38" t="n">
        <x:v>1</x:v>
      </x:c>
      <x:c r="U55" s="38" t="n">
        <x:v>1</x:v>
      </x:c>
      <x:c r="V55" s="38" t="n">
        <x:v>1</x:v>
      </x:c>
      <x:c r="W55" s="38" t="n">
        <x:v>0</x:v>
      </x:c>
      <x:c r="X55" s="38" t="n">
        <x:v>1</x:v>
      </x:c>
      <x:c r="Y55" s="38" t="n">
        <x:v>1</x:v>
      </x:c>
      <x:c r="Z55" s="38" t="n">
        <x:v>1</x:v>
      </x:c>
      <x:c r="AA55" s="38" t="n">
        <x:v>1</x:v>
      </x:c>
      <x:c r="AB55" s="38" t="n">
        <x:v>1</x:v>
      </x:c>
      <x:c r="AC55" s="38" t="n">
        <x:v>1</x:v>
      </x:c>
      <x:c r="AD55" s="38" t="n">
        <x:v>1</x:v>
      </x:c>
      <x:c r="AE55" s="38" t="n">
        <x:v>0.5</x:v>
      </x:c>
      <x:c r="AF55" s="38" t="n">
        <x:v>1</x:v>
      </x:c>
      <x:c r="AG55" s="38" t="n">
        <x:v>0</x:v>
      </x:c>
      <x:c r="AH55" s="38" t="n">
        <x:v>0</x:v>
      </x:c>
      <x:c r="AI55" s="38" t="n">
        <x:v>1</x:v>
      </x:c>
      <x:c r="AJ55" s="38" t="n">
        <x:v>1</x:v>
      </x:c>
      <x:c r="AK55" s="38" t="n">
        <x:v>0</x:v>
      </x:c>
      <x:c r="AL55" s="38" t="n">
        <x:v>1</x:v>
      </x:c>
      <x:c r="AM55" s="38" t="n">
        <x:v>0.5</x:v>
      </x:c>
      <x:c r="AN55" s="38" t="n">
        <x:v>1</x:v>
      </x:c>
      <x:c r="AO55" s="38" t="n">
        <x:v>0</x:v>
      </x:c>
      <x:c r="AP55" s="38" t="n">
        <x:v>0</x:v>
      </x:c>
      <x:c r="AQ55" s="28" t="str">
        <x:v>各曲线仅5点；模型竞争、留点失败与AICc边界保留，未把拟合优胜解释为唯一机制。</x:v>
      </x:c>
      <x:c r="AR55" s="28" t="str">
        <x:v>https://raw.githubusercontent.com/ZYDTR/truthinsightbench-dwf-scoring/main/runs/Energy_01_photocatalytic_tradeoffs/workspace/output/Result.md</x:v>
      </x:c>
      <x:c r="AS55" s="28" t="str">
        <x:v>待核验；暂不计入</x:v>
      </x:c>
    </x:row>
    <x:row r="56" ht="65" customHeight="1">
      <x:c r="A56" s="14" t="n">
        <x:v>51</x:v>
      </x:c>
      <x:c r="B56" s="14" t="str">
        <x:v>Energy_01_photocatalytic_tradeoffs</x:v>
      </x:c>
      <x:c r="C56" s="14" t="str">
        <x:v>F2</x:v>
      </x:c>
      <x:c r="D56" s="28" t="str">
        <x:v>红端作用衰减不能由吸收限制解释</x:v>
      </x:c>
      <x:c r="E56" s="14" t="str">
        <x:v>G2</x:v>
      </x:c>
      <x:c r="F56" s="14" t="n">
        <x:v>0</x:v>
      </x:c>
      <x:c r="G56" s="36" t="n">
        <x:f>SUMPRODUCT(N56:AP56,$N$4:$AP$4)</x:f>
        <x:v>68.5</x:v>
      </x:c>
      <x:c r="H56" s="36" t="n">
        <x:f>SUMPRODUCT(N56:U56,$N$4:$U$4)</x:f>
        <x:v>32.5</x:v>
      </x:c>
      <x:c r="I56" s="36" t="n">
        <x:f>SUMPRODUCT(V56:Z56,$V$4:$Z$4)</x:f>
        <x:v>12</x:v>
      </x:c>
      <x:c r="J56" s="36" t="n">
        <x:f>SUMPRODUCT(AA56:AE56,$AA$4:$AE$4)</x:f>
        <x:v>13.5</x:v>
      </x:c>
      <x:c r="K56" s="36" t="n">
        <x:f>SUMPRODUCT(AF56:AI56,$AF$4:$AI$4)</x:f>
        <x:v>4</x:v>
      </x:c>
      <x:c r="L56" s="36" t="n">
        <x:f>SUMPRODUCT(AJ56:AK56,$AJ$4:$AK$4)</x:f>
        <x:v>4</x:v>
      </x:c>
      <x:c r="M56" s="36" t="n">
        <x:f>SUMPRODUCT(AL56:AP56,$AL$4:$AP$4)</x:f>
        <x:v>2.5</x:v>
      </x:c>
      <x:c r="N56" s="38" t="n">
        <x:v>0.5</x:v>
      </x:c>
      <x:c r="O56" s="38" t="n">
        <x:v>1</x:v>
      </x:c>
      <x:c r="P56" s="38" t="n">
        <x:v>0.5</x:v>
      </x:c>
      <x:c r="Q56" s="38" t="n">
        <x:v>1</x:v>
      </x:c>
      <x:c r="R56" s="38" t="n">
        <x:v>0.5</x:v>
      </x:c>
      <x:c r="S56" s="38" t="n">
        <x:v>0.5</x:v>
      </x:c>
      <x:c r="T56" s="38" t="n">
        <x:v>1</x:v>
      </x:c>
      <x:c r="U56" s="38" t="n">
        <x:v>1</x:v>
      </x:c>
      <x:c r="V56" s="38" t="n">
        <x:v>1</x:v>
      </x:c>
      <x:c r="W56" s="38" t="n">
        <x:v>0</x:v>
      </x:c>
      <x:c r="X56" s="38" t="n">
        <x:v>1</x:v>
      </x:c>
      <x:c r="Y56" s="38" t="n">
        <x:v>1</x:v>
      </x:c>
      <x:c r="Z56" s="38" t="n">
        <x:v>1</x:v>
      </x:c>
      <x:c r="AA56" s="38" t="n">
        <x:v>1</x:v>
      </x:c>
      <x:c r="AB56" s="38" t="n">
        <x:v>1</x:v>
      </x:c>
      <x:c r="AC56" s="38" t="n">
        <x:v>1</x:v>
      </x:c>
      <x:c r="AD56" s="38" t="n">
        <x:v>1</x:v>
      </x:c>
      <x:c r="AE56" s="38" t="n">
        <x:v>0.5</x:v>
      </x:c>
      <x:c r="AF56" s="38" t="n">
        <x:v>1</x:v>
      </x:c>
      <x:c r="AG56" s="38" t="n">
        <x:v>0</x:v>
      </x:c>
      <x:c r="AH56" s="38" t="n">
        <x:v>0</x:v>
      </x:c>
      <x:c r="AI56" s="38" t="n">
        <x:v>1</x:v>
      </x:c>
      <x:c r="AJ56" s="38" t="n">
        <x:v>1</x:v>
      </x:c>
      <x:c r="AK56" s="38" t="n">
        <x:v>0</x:v>
      </x:c>
      <x:c r="AL56" s="38" t="n">
        <x:v>1</x:v>
      </x:c>
      <x:c r="AM56" s="38" t="n">
        <x:v>0.5</x:v>
      </x:c>
      <x:c r="AN56" s="38" t="n">
        <x:v>1</x:v>
      </x:c>
      <x:c r="AO56" s="38" t="n">
        <x:v>0</x:v>
      </x:c>
      <x:c r="AP56" s="38" t="n">
        <x:v>0</x:v>
      </x:c>
      <x:c r="AQ56" s="28" t="str">
        <x:v>留出红端预测严重失配，多个竞争模型和转换凹性分析有区分力；不越界指认机制。</x:v>
      </x:c>
      <x:c r="AR56" s="28" t="str">
        <x:v>https://raw.githubusercontent.com/ZYDTR/truthinsightbench-dwf-scoring/main/runs/Energy_01_photocatalytic_tradeoffs/workspace/output/Result.md</x:v>
      </x:c>
      <x:c r="AS56" s="28" t="str">
        <x:v>待核验；暂不计入</x:v>
      </x:c>
    </x:row>
    <x:row r="57" ht="65" customHeight="1">
      <x:c r="A57" s="14" t="n">
        <x:v>52</x:v>
      </x:c>
      <x:c r="B57" s="14" t="str">
        <x:v>Energy_01_photocatalytic_tradeoffs</x:v>
      </x:c>
      <x:c r="C57" s="14" t="str">
        <x:v>F3</x:v>
      </x:c>
      <x:c r="D57" s="28" t="str">
        <x:v>两条瞬态轨迹的长期响应不同</x:v>
      </x:c>
      <x:c r="E57" s="14" t="str">
        <x:v>G3</x:v>
      </x:c>
      <x:c r="F57" s="14" t="n">
        <x:v>0</x:v>
      </x:c>
      <x:c r="G57" s="36" t="n">
        <x:f>SUMPRODUCT(N57:AP57,$N$4:$AP$4)</x:f>
        <x:v>68.5</x:v>
      </x:c>
      <x:c r="H57" s="36" t="n">
        <x:f>SUMPRODUCT(N57:U57,$N$4:$U$4)</x:f>
        <x:v>32.5</x:v>
      </x:c>
      <x:c r="I57" s="36" t="n">
        <x:f>SUMPRODUCT(V57:Z57,$V$4:$Z$4)</x:f>
        <x:v>12</x:v>
      </x:c>
      <x:c r="J57" s="36" t="n">
        <x:f>SUMPRODUCT(AA57:AE57,$AA$4:$AE$4)</x:f>
        <x:v>13.5</x:v>
      </x:c>
      <x:c r="K57" s="36" t="n">
        <x:f>SUMPRODUCT(AF57:AI57,$AF$4:$AI$4)</x:f>
        <x:v>4</x:v>
      </x:c>
      <x:c r="L57" s="36" t="n">
        <x:f>SUMPRODUCT(AJ57:AK57,$AJ$4:$AK$4)</x:f>
        <x:v>4</x:v>
      </x:c>
      <x:c r="M57" s="36" t="n">
        <x:f>SUMPRODUCT(AL57:AP57,$AL$4:$AP$4)</x:f>
        <x:v>2.5</x:v>
      </x:c>
      <x:c r="N57" s="38" t="n">
        <x:v>0.5</x:v>
      </x:c>
      <x:c r="O57" s="38" t="n">
        <x:v>1</x:v>
      </x:c>
      <x:c r="P57" s="38" t="n">
        <x:v>0.5</x:v>
      </x:c>
      <x:c r="Q57" s="38" t="n">
        <x:v>1</x:v>
      </x:c>
      <x:c r="R57" s="38" t="n">
        <x:v>0.5</x:v>
      </x:c>
      <x:c r="S57" s="38" t="n">
        <x:v>0.5</x:v>
      </x:c>
      <x:c r="T57" s="38" t="n">
        <x:v>1</x:v>
      </x:c>
      <x:c r="U57" s="38" t="n">
        <x:v>1</x:v>
      </x:c>
      <x:c r="V57" s="38" t="n">
        <x:v>1</x:v>
      </x:c>
      <x:c r="W57" s="38" t="n">
        <x:v>0</x:v>
      </x:c>
      <x:c r="X57" s="38" t="n">
        <x:v>1</x:v>
      </x:c>
      <x:c r="Y57" s="38" t="n">
        <x:v>1</x:v>
      </x:c>
      <x:c r="Z57" s="38" t="n">
        <x:v>1</x:v>
      </x:c>
      <x:c r="AA57" s="38" t="n">
        <x:v>1</x:v>
      </x:c>
      <x:c r="AB57" s="38" t="n">
        <x:v>1</x:v>
      </x:c>
      <x:c r="AC57" s="38" t="n">
        <x:v>1</x:v>
      </x:c>
      <x:c r="AD57" s="38" t="n">
        <x:v>1</x:v>
      </x:c>
      <x:c r="AE57" s="38" t="n">
        <x:v>0.5</x:v>
      </x:c>
      <x:c r="AF57" s="38" t="n">
        <x:v>1</x:v>
      </x:c>
      <x:c r="AG57" s="38" t="n">
        <x:v>0</x:v>
      </x:c>
      <x:c r="AH57" s="38" t="n">
        <x:v>0</x:v>
      </x:c>
      <x:c r="AI57" s="38" t="n">
        <x:v>1</x:v>
      </x:c>
      <x:c r="AJ57" s="38" t="n">
        <x:v>1</x:v>
      </x:c>
      <x:c r="AK57" s="38" t="n">
        <x:v>0</x:v>
      </x:c>
      <x:c r="AL57" s="38" t="n">
        <x:v>1</x:v>
      </x:c>
      <x:c r="AM57" s="38" t="n">
        <x:v>0.5</x:v>
      </x:c>
      <x:c r="AN57" s="38" t="n">
        <x:v>1</x:v>
      </x:c>
      <x:c r="AO57" s="38" t="n">
        <x:v>0</x:v>
      </x:c>
      <x:c r="AP57" s="38" t="n">
        <x:v>0</x:v>
      </x:c>
      <x:c r="AQ57" s="28" t="str">
        <x:v>多个处理伪影与模型被比较；仍只有两条完整轨迹，数百延迟点不是重复实验。</x:v>
      </x:c>
      <x:c r="AR57" s="28" t="str">
        <x:v>https://raw.githubusercontent.com/ZYDTR/truthinsightbench-dwf-scoring/main/runs/Energy_01_photocatalytic_tradeoffs/workspace/output/Result.md</x:v>
      </x:c>
      <x:c r="AS57" s="28" t="str">
        <x:v>待核验；暂不计入</x:v>
      </x:c>
    </x:row>
    <x:row r="58" ht="65" customHeight="1">
      <x:c r="A58" s="14" t="n">
        <x:v>53</x:v>
      </x:c>
      <x:c r="B58" s="14" t="str">
        <x:v>Energy_01_photocatalytic_tradeoffs</x:v>
      </x:c>
      <x:c r="C58" s="14" t="str">
        <x:v>F4</x:v>
      </x:c>
      <x:c r="D58" s="28" t="str">
        <x:v>负载仅有局部采样峰而非可识别最优</x:v>
      </x:c>
      <x:c r="E58" s="14" t="str">
        <x:v>G4</x:v>
      </x:c>
      <x:c r="F58" s="14" t="n">
        <x:v>0</x:v>
      </x:c>
      <x:c r="G58" s="36" t="n">
        <x:f>SUMPRODUCT(N58:AP58,$N$4:$AP$4)</x:f>
        <x:v>65</x:v>
      </x:c>
      <x:c r="H58" s="36" t="n">
        <x:f>SUMPRODUCT(N58:U58,$N$4:$U$4)</x:f>
        <x:v>32.5</x:v>
      </x:c>
      <x:c r="I58" s="36" t="n">
        <x:f>SUMPRODUCT(V58:Z58,$V$4:$Z$4)</x:f>
        <x:v>10.5</x:v>
      </x:c>
      <x:c r="J58" s="36" t="n">
        <x:f>SUMPRODUCT(AA58:AE58,$AA$4:$AE$4)</x:f>
        <x:v>13.5</x:v>
      </x:c>
      <x:c r="K58" s="36" t="n">
        <x:f>SUMPRODUCT(AF58:AI58,$AF$4:$AI$4)</x:f>
        <x:v>2</x:v>
      </x:c>
      <x:c r="L58" s="36" t="n">
        <x:f>SUMPRODUCT(AJ58:AK58,$AJ$4:$AK$4)</x:f>
        <x:v>4</x:v>
      </x:c>
      <x:c r="M58" s="36" t="n">
        <x:f>SUMPRODUCT(AL58:AP58,$AL$4:$AP$4)</x:f>
        <x:v>2.5</x:v>
      </x:c>
      <x:c r="N58" s="38" t="n">
        <x:v>0.5</x:v>
      </x:c>
      <x:c r="O58" s="38" t="n">
        <x:v>1</x:v>
      </x:c>
      <x:c r="P58" s="38" t="n">
        <x:v>0.5</x:v>
      </x:c>
      <x:c r="Q58" s="38" t="n">
        <x:v>1</x:v>
      </x:c>
      <x:c r="R58" s="38" t="n">
        <x:v>0.5</x:v>
      </x:c>
      <x:c r="S58" s="38" t="n">
        <x:v>0.5</x:v>
      </x:c>
      <x:c r="T58" s="38" t="n">
        <x:v>1</x:v>
      </x:c>
      <x:c r="U58" s="38" t="n">
        <x:v>1</x:v>
      </x:c>
      <x:c r="V58" s="38" t="n">
        <x:v>0.5</x:v>
      </x:c>
      <x:c r="W58" s="38" t="n">
        <x:v>0</x:v>
      </x:c>
      <x:c r="X58" s="38" t="n">
        <x:v>1</x:v>
      </x:c>
      <x:c r="Y58" s="38" t="n">
        <x:v>1</x:v>
      </x:c>
      <x:c r="Z58" s="38" t="n">
        <x:v>1</x:v>
      </x:c>
      <x:c r="AA58" s="38" t="n">
        <x:v>1</x:v>
      </x:c>
      <x:c r="AB58" s="38" t="n">
        <x:v>1</x:v>
      </x:c>
      <x:c r="AC58" s="38" t="n">
        <x:v>1</x:v>
      </x:c>
      <x:c r="AD58" s="38" t="n">
        <x:v>1</x:v>
      </x:c>
      <x:c r="AE58" s="38" t="n">
        <x:v>0.5</x:v>
      </x:c>
      <x:c r="AF58" s="38" t="n">
        <x:v>0.5</x:v>
      </x:c>
      <x:c r="AG58" s="38" t="n">
        <x:v>0</x:v>
      </x:c>
      <x:c r="AH58" s="38" t="n">
        <x:v>0</x:v>
      </x:c>
      <x:c r="AI58" s="38" t="n">
        <x:v>0.5</x:v>
      </x:c>
      <x:c r="AJ58" s="38" t="n">
        <x:v>1</x:v>
      </x:c>
      <x:c r="AK58" s="38" t="n">
        <x:v>0</x:v>
      </x:c>
      <x:c r="AL58" s="38" t="n">
        <x:v>1</x:v>
      </x:c>
      <x:c r="AM58" s="38" t="n">
        <x:v>0.5</x:v>
      </x:c>
      <x:c r="AN58" s="38" t="n">
        <x:v>1</x:v>
      </x:c>
      <x:c r="AO58" s="38" t="n">
        <x:v>0</x:v>
      </x:c>
      <x:c r="AP58" s="38" t="n">
        <x:v>0</x:v>
      </x:c>
      <x:c r="AQ58" s="28" t="str">
        <x:v>4个设置给出内点峰，删点与模型比较不能固定连续最优位置；对不确定性保持克制。</x:v>
      </x:c>
      <x:c r="AR58" s="28" t="str">
        <x:v>https://raw.githubusercontent.com/ZYDTR/truthinsightbench-dwf-scoring/main/runs/Energy_01_photocatalytic_tradeoffs/workspace/output/Result.md</x:v>
      </x:c>
      <x:c r="AS58" s="28" t="str">
        <x:v>待核验；暂不计入</x:v>
      </x:c>
    </x:row>
    <x:row r="59" ht="65" customHeight="1">
      <x:c r="A59" s="14" t="n">
        <x:v>54</x:v>
      </x:c>
      <x:c r="B59" s="14" t="str">
        <x:v>Energy_01_photocatalytic_tradeoffs</x:v>
      </x:c>
      <x:c r="C59" s="14" t="str">
        <x:v>F5</x:v>
      </x:c>
      <x:c r="D59" s="28" t="str">
        <x:v>跨模态映射受身份缺口限制</x:v>
      </x:c>
      <x:c r="E59" s="14" t="str">
        <x:v>G5</x:v>
      </x:c>
      <x:c r="F59" s="14" t="n">
        <x:v>0</x:v>
      </x:c>
      <x:c r="G59" s="36" t="n">
        <x:f>SUMPRODUCT(N59:AP59,$N$4:$AP$4)</x:f>
        <x:v>60</x:v>
      </x:c>
      <x:c r="H59" s="36" t="n">
        <x:f>SUMPRODUCT(N59:U59,$N$4:$U$4)</x:f>
        <x:v>32.5</x:v>
      </x:c>
      <x:c r="I59" s="36" t="n">
        <x:f>SUMPRODUCT(V59:Z59,$V$4:$Z$4)</x:f>
        <x:v>9</x:v>
      </x:c>
      <x:c r="J59" s="36" t="n">
        <x:f>SUMPRODUCT(AA59:AE59,$AA$4:$AE$4)</x:f>
        <x:v>12</x:v>
      </x:c>
      <x:c r="K59" s="36" t="n">
        <x:f>SUMPRODUCT(AF59:AI59,$AF$4:$AI$4)</x:f>
        <x:v>0</x:v>
      </x:c>
      <x:c r="L59" s="36" t="n">
        <x:f>SUMPRODUCT(AJ59:AK59,$AJ$4:$AK$4)</x:f>
        <x:v>4</x:v>
      </x:c>
      <x:c r="M59" s="36" t="n">
        <x:f>SUMPRODUCT(AL59:AP59,$AL$4:$AP$4)</x:f>
        <x:v>2.5</x:v>
      </x:c>
      <x:c r="N59" s="38" t="n">
        <x:v>0.5</x:v>
      </x:c>
      <x:c r="O59" s="38" t="n">
        <x:v>1</x:v>
      </x:c>
      <x:c r="P59" s="38" t="n">
        <x:v>0.5</x:v>
      </x:c>
      <x:c r="Q59" s="38" t="n">
        <x:v>1</x:v>
      </x:c>
      <x:c r="R59" s="38" t="n">
        <x:v>0.5</x:v>
      </x:c>
      <x:c r="S59" s="38" t="n">
        <x:v>0.5</x:v>
      </x:c>
      <x:c r="T59" s="38" t="n">
        <x:v>1</x:v>
      </x:c>
      <x:c r="U59" s="38" t="n">
        <x:v>1</x:v>
      </x:c>
      <x:c r="V59" s="38" t="n">
        <x:v>0.5</x:v>
      </x:c>
      <x:c r="W59" s="38" t="n">
        <x:v>0</x:v>
      </x:c>
      <x:c r="X59" s="38" t="n">
        <x:v>0.5</x:v>
      </x:c>
      <x:c r="Y59" s="38" t="n">
        <x:v>1</x:v>
      </x:c>
      <x:c r="Z59" s="38" t="n">
        <x:v>1</x:v>
      </x:c>
      <x:c r="AA59" s="38" t="n">
        <x:v>1</x:v>
      </x:c>
      <x:c r="AB59" s="38" t="n">
        <x:v>0.5</x:v>
      </x:c>
      <x:c r="AC59" s="38" t="n">
        <x:v>1</x:v>
      </x:c>
      <x:c r="AD59" s="38" t="n">
        <x:v>1</x:v>
      </x:c>
      <x:c r="AE59" s="38" t="n">
        <x:v>0.5</x:v>
      </x:c>
      <x:c r="AF59" s="38" t="n">
        <x:v>0</x:v>
      </x:c>
      <x:c r="AG59" s="38" t="n">
        <x:v>0</x:v>
      </x:c>
      <x:c r="AH59" s="38" t="n">
        <x:v>0</x:v>
      </x:c>
      <x:c r="AI59" s="38" t="n">
        <x:v>0</x:v>
      </x:c>
      <x:c r="AJ59" s="38" t="n">
        <x:v>1</x:v>
      </x:c>
      <x:c r="AK59" s="38" t="n">
        <x:v>0</x:v>
      </x:c>
      <x:c r="AL59" s="38" t="n">
        <x:v>1</x:v>
      </x:c>
      <x:c r="AM59" s="38" t="n">
        <x:v>0.5</x:v>
      </x:c>
      <x:c r="AN59" s="38" t="n">
        <x:v>1</x:v>
      </x:c>
      <x:c r="AO59" s="38" t="n">
        <x:v>0</x:v>
      </x:c>
      <x:c r="AP59" s="38" t="n">
        <x:v>0</x:v>
      </x:c>
      <x:c r="AQ59" s="28" t="str">
        <x:v>仅两种配方能跨模态连接且排序相反；无标识、不同量纲的数据不应拼接成通用规律。</x:v>
      </x:c>
      <x:c r="AR59" s="28" t="str">
        <x:v>https://raw.githubusercontent.com/ZYDTR/truthinsightbench-dwf-scoring/main/runs/Energy_01_photocatalytic_tradeoffs/workspace/output/Result.md</x:v>
      </x:c>
      <x:c r="AS59" s="28" t="str">
        <x:v>待核验；暂不计入</x:v>
      </x:c>
    </x:row>
    <x:row r="60" ht="65" customHeight="1">
      <x:c r="A60" s="14" t="n">
        <x:v>55</x:v>
      </x:c>
      <x:c r="B60" s="14" t="str">
        <x:v>Energy_02_flow_battery_operating_boundary</x:v>
      </x:c>
      <x:c r="C60" s="14" t="str">
        <x:v>F1</x:v>
      </x:c>
      <x:c r="D60" s="28" t="str">
        <x:v>充放电间隙总体加大且有局部例外</x:v>
      </x:c>
      <x:c r="E60" s="14" t="str">
        <x:v>G2</x:v>
      </x:c>
      <x:c r="F60" s="14" t="n">
        <x:v>0</x:v>
      </x:c>
      <x:c r="G60" s="36" t="n">
        <x:f>SUMPRODUCT(N60:AP60,$N$4:$AP$4)</x:f>
        <x:v>65.5</x:v>
      </x:c>
      <x:c r="H60" s="36" t="n">
        <x:f>SUMPRODUCT(N60:U60,$N$4:$U$4)</x:f>
        <x:v>32.5</x:v>
      </x:c>
      <x:c r="I60" s="36" t="n">
        <x:f>SUMPRODUCT(V60:Z60,$V$4:$Z$4)</x:f>
        <x:v>10.5</x:v>
      </x:c>
      <x:c r="J60" s="36" t="n">
        <x:f>SUMPRODUCT(AA60:AE60,$AA$4:$AE$4)</x:f>
        <x:v>13.5</x:v>
      </x:c>
      <x:c r="K60" s="36" t="n">
        <x:f>SUMPRODUCT(AF60:AI60,$AF$4:$AI$4)</x:f>
        <x:v>2</x:v>
      </x:c>
      <x:c r="L60" s="36" t="n">
        <x:f>SUMPRODUCT(AJ60:AK60,$AJ$4:$AK$4)</x:f>
        <x:v>4</x:v>
      </x:c>
      <x:c r="M60" s="36" t="n">
        <x:f>SUMPRODUCT(AL60:AP60,$AL$4:$AP$4)</x:f>
        <x:v>3</x:v>
      </x:c>
      <x:c r="N60" s="38" t="n">
        <x:v>0.5</x:v>
      </x:c>
      <x:c r="O60" s="38" t="n">
        <x:v>1</x:v>
      </x:c>
      <x:c r="P60" s="38" t="n">
        <x:v>0.5</x:v>
      </x:c>
      <x:c r="Q60" s="38" t="n">
        <x:v>1</x:v>
      </x:c>
      <x:c r="R60" s="38" t="n">
        <x:v>0.5</x:v>
      </x:c>
      <x:c r="S60" s="38" t="n">
        <x:v>0.5</x:v>
      </x:c>
      <x:c r="T60" s="38" t="n">
        <x:v>1</x:v>
      </x:c>
      <x:c r="U60" s="38" t="n">
        <x:v>1</x:v>
      </x:c>
      <x:c r="V60" s="38" t="n">
        <x:v>0.5</x:v>
      </x:c>
      <x:c r="W60" s="38" t="n">
        <x:v>0</x:v>
      </x:c>
      <x:c r="X60" s="38" t="n">
        <x:v>1</x:v>
      </x:c>
      <x:c r="Y60" s="38" t="n">
        <x:v>1</x:v>
      </x:c>
      <x:c r="Z60" s="38" t="n">
        <x:v>1</x:v>
      </x:c>
      <x:c r="AA60" s="38" t="n">
        <x:v>1</x:v>
      </x:c>
      <x:c r="AB60" s="38" t="n">
        <x:v>1</x:v>
      </x:c>
      <x:c r="AC60" s="38" t="n">
        <x:v>1</x:v>
      </x:c>
      <x:c r="AD60" s="38" t="n">
        <x:v>1</x:v>
      </x:c>
      <x:c r="AE60" s="38" t="n">
        <x:v>0.5</x:v>
      </x:c>
      <x:c r="AF60" s="38" t="n">
        <x:v>0.5</x:v>
      </x:c>
      <x:c r="AG60" s="38" t="n">
        <x:v>0</x:v>
      </x:c>
      <x:c r="AH60" s="38" t="n">
        <x:v>0</x:v>
      </x:c>
      <x:c r="AI60" s="38" t="n">
        <x:v>0.5</x:v>
      </x:c>
      <x:c r="AJ60" s="38" t="n">
        <x:v>1</x:v>
      </x:c>
      <x:c r="AK60" s="38" t="n">
        <x:v>0</x:v>
      </x:c>
      <x:c r="AL60" s="38" t="n">
        <x:v>0.5</x:v>
      </x:c>
      <x:c r="AM60" s="38" t="n">
        <x:v>0.5</x:v>
      </x:c>
      <x:c r="AN60" s="38" t="n">
        <x:v>1</x:v>
      </x:c>
      <x:c r="AO60" s="38" t="n">
        <x:v>1</x:v>
      </x:c>
      <x:c r="AP60" s="38" t="n">
        <x:v>0</x:v>
      </x:c>
      <x:c r="AQ60" s="28" t="str">
        <x:v>全点比较揭示少量放电曲线交叉，改正了最初全域单调表述；模板重复不是独立采样。</x:v>
      </x:c>
      <x:c r="AR60" s="28" t="str">
        <x:v>https://raw.githubusercontent.com/ZYDTR/truthinsightbench-dwf-scoring/main/runs/Energy_02_flow_battery_operating_boundary/workspace/output/Result.md</x:v>
      </x:c>
      <x:c r="AS60" s="28" t="str">
        <x:v>待核验；暂不计入</x:v>
      </x:c>
    </x:row>
    <x:row r="61" ht="65" customHeight="1">
      <x:c r="A61" s="14" t="n">
        <x:v>56</x:v>
      </x:c>
      <x:c r="B61" s="14" t="str">
        <x:v>Energy_02_flow_battery_operating_boundary</x:v>
      </x:c>
      <x:c r="C61" s="14" t="str">
        <x:v>F2</x:v>
      </x:c>
      <x:c r="D61" s="28" t="str">
        <x:v>效率汇总与中SOC电压比近似相容</x:v>
      </x:c>
      <x:c r="E61" s="14" t="str">
        <x:v>G3</x:v>
      </x:c>
      <x:c r="F61" s="14" t="n">
        <x:v>0</x:v>
      </x:c>
      <x:c r="G61" s="36" t="n">
        <x:f>SUMPRODUCT(N61:AP61,$N$4:$AP$4)</x:f>
        <x:v>65.5</x:v>
      </x:c>
      <x:c r="H61" s="36" t="n">
        <x:f>SUMPRODUCT(N61:U61,$N$4:$U$4)</x:f>
        <x:v>32.5</x:v>
      </x:c>
      <x:c r="I61" s="36" t="n">
        <x:f>SUMPRODUCT(V61:Z61,$V$4:$Z$4)</x:f>
        <x:v>10.5</x:v>
      </x:c>
      <x:c r="J61" s="36" t="n">
        <x:f>SUMPRODUCT(AA61:AE61,$AA$4:$AE$4)</x:f>
        <x:v>13.5</x:v>
      </x:c>
      <x:c r="K61" s="36" t="n">
        <x:f>SUMPRODUCT(AF61:AI61,$AF$4:$AI$4)</x:f>
        <x:v>2</x:v>
      </x:c>
      <x:c r="L61" s="36" t="n">
        <x:f>SUMPRODUCT(AJ61:AK61,$AJ$4:$AK$4)</x:f>
        <x:v>4</x:v>
      </x:c>
      <x:c r="M61" s="36" t="n">
        <x:f>SUMPRODUCT(AL61:AP61,$AL$4:$AP$4)</x:f>
        <x:v>3</x:v>
      </x:c>
      <x:c r="N61" s="38" t="n">
        <x:v>0.5</x:v>
      </x:c>
      <x:c r="O61" s="38" t="n">
        <x:v>1</x:v>
      </x:c>
      <x:c r="P61" s="38" t="n">
        <x:v>0.5</x:v>
      </x:c>
      <x:c r="Q61" s="38" t="n">
        <x:v>1</x:v>
      </x:c>
      <x:c r="R61" s="38" t="n">
        <x:v>0.5</x:v>
      </x:c>
      <x:c r="S61" s="38" t="n">
        <x:v>0.5</x:v>
      </x:c>
      <x:c r="T61" s="38" t="n">
        <x:v>1</x:v>
      </x:c>
      <x:c r="U61" s="38" t="n">
        <x:v>1</x:v>
      </x:c>
      <x:c r="V61" s="38" t="n">
        <x:v>0.5</x:v>
      </x:c>
      <x:c r="W61" s="38" t="n">
        <x:v>0</x:v>
      </x:c>
      <x:c r="X61" s="38" t="n">
        <x:v>1</x:v>
      </x:c>
      <x:c r="Y61" s="38" t="n">
        <x:v>1</x:v>
      </x:c>
      <x:c r="Z61" s="38" t="n">
        <x:v>1</x:v>
      </x:c>
      <x:c r="AA61" s="38" t="n">
        <x:v>1</x:v>
      </x:c>
      <x:c r="AB61" s="38" t="n">
        <x:v>1</x:v>
      </x:c>
      <x:c r="AC61" s="38" t="n">
        <x:v>1</x:v>
      </x:c>
      <x:c r="AD61" s="38" t="n">
        <x:v>1</x:v>
      </x:c>
      <x:c r="AE61" s="38" t="n">
        <x:v>0.5</x:v>
      </x:c>
      <x:c r="AF61" s="38" t="n">
        <x:v>0.5</x:v>
      </x:c>
      <x:c r="AG61" s="38" t="n">
        <x:v>0</x:v>
      </x:c>
      <x:c r="AH61" s="38" t="n">
        <x:v>0</x:v>
      </x:c>
      <x:c r="AI61" s="38" t="n">
        <x:v>0.5</x:v>
      </x:c>
      <x:c r="AJ61" s="38" t="n">
        <x:v>1</x:v>
      </x:c>
      <x:c r="AK61" s="38" t="n">
        <x:v>0</x:v>
      </x:c>
      <x:c r="AL61" s="38" t="n">
        <x:v>0.5</x:v>
      </x:c>
      <x:c r="AM61" s="38" t="n">
        <x:v>0.5</x:v>
      </x:c>
      <x:c r="AN61" s="38" t="n">
        <x:v>1</x:v>
      </x:c>
      <x:c r="AO61" s="38" t="n">
        <x:v>1</x:v>
      </x:c>
      <x:c r="AP61" s="38" t="n">
        <x:v>0</x:v>
      </x:c>
      <x:c r="AQ61" s="28" t="str">
        <x:v>比较替代映射与留出误差，主动剔除排序置换伪检验；舍入解释未获过度奖励。</x:v>
      </x:c>
      <x:c r="AR61" s="28" t="str">
        <x:v>https://raw.githubusercontent.com/ZYDTR/truthinsightbench-dwf-scoring/main/runs/Energy_02_flow_battery_operating_boundary/workspace/output/Result.md</x:v>
      </x:c>
      <x:c r="AS61" s="28" t="str">
        <x:v>待核验；暂不计入</x:v>
      </x:c>
    </x:row>
    <x:row r="62" ht="65" customHeight="1">
      <x:c r="A62" s="14" t="n">
        <x:v>57</x:v>
      </x:c>
      <x:c r="B62" s="14" t="str">
        <x:v>Energy_02_flow_battery_operating_boundary</x:v>
      </x:c>
      <x:c r="C62" s="14" t="str">
        <x:v>F3</x:v>
      </x:c>
      <x:c r="D62" s="28" t="str">
        <x:v>功率峰局限于给定设置且末端不兼容</x:v>
      </x:c>
      <x:c r="E62" s="14" t="str">
        <x:v>G4</x:v>
      </x:c>
      <x:c r="F62" s="14" t="n">
        <x:v>0</x:v>
      </x:c>
      <x:c r="G62" s="36" t="n">
        <x:f>SUMPRODUCT(N62:AP62,$N$4:$AP$4)</x:f>
        <x:v>65</x:v>
      </x:c>
      <x:c r="H62" s="36" t="n">
        <x:f>SUMPRODUCT(N62:U62,$N$4:$U$4)</x:f>
        <x:v>32.5</x:v>
      </x:c>
      <x:c r="I62" s="36" t="n">
        <x:f>SUMPRODUCT(V62:Z62,$V$4:$Z$4)</x:f>
        <x:v>10.5</x:v>
      </x:c>
      <x:c r="J62" s="36" t="n">
        <x:f>SUMPRODUCT(AA62:AE62,$AA$4:$AE$4)</x:f>
        <x:v>13.5</x:v>
      </x:c>
      <x:c r="K62" s="36" t="n">
        <x:f>SUMPRODUCT(AF62:AI62,$AF$4:$AI$4)</x:f>
        <x:v>2</x:v>
      </x:c>
      <x:c r="L62" s="36" t="n">
        <x:f>SUMPRODUCT(AJ62:AK62,$AJ$4:$AK$4)</x:f>
        <x:v>4</x:v>
      </x:c>
      <x:c r="M62" s="36" t="n">
        <x:f>SUMPRODUCT(AL62:AP62,$AL$4:$AP$4)</x:f>
        <x:v>2.5</x:v>
      </x:c>
      <x:c r="N62" s="38" t="n">
        <x:v>0.5</x:v>
      </x:c>
      <x:c r="O62" s="38" t="n">
        <x:v>1</x:v>
      </x:c>
      <x:c r="P62" s="38" t="n">
        <x:v>0.5</x:v>
      </x:c>
      <x:c r="Q62" s="38" t="n">
        <x:v>1</x:v>
      </x:c>
      <x:c r="R62" s="38" t="n">
        <x:v>0.5</x:v>
      </x:c>
      <x:c r="S62" s="38" t="n">
        <x:v>0.5</x:v>
      </x:c>
      <x:c r="T62" s="38" t="n">
        <x:v>1</x:v>
      </x:c>
      <x:c r="U62" s="38" t="n">
        <x:v>1</x:v>
      </x:c>
      <x:c r="V62" s="38" t="n">
        <x:v>0.5</x:v>
      </x:c>
      <x:c r="W62" s="38" t="n">
        <x:v>0</x:v>
      </x:c>
      <x:c r="X62" s="38" t="n">
        <x:v>1</x:v>
      </x:c>
      <x:c r="Y62" s="38" t="n">
        <x:v>1</x:v>
      </x:c>
      <x:c r="Z62" s="38" t="n">
        <x:v>1</x:v>
      </x:c>
      <x:c r="AA62" s="38" t="n">
        <x:v>1</x:v>
      </x:c>
      <x:c r="AB62" s="38" t="n">
        <x:v>1</x:v>
      </x:c>
      <x:c r="AC62" s="38" t="n">
        <x:v>1</x:v>
      </x:c>
      <x:c r="AD62" s="38" t="n">
        <x:v>1</x:v>
      </x:c>
      <x:c r="AE62" s="38" t="n">
        <x:v>0.5</x:v>
      </x:c>
      <x:c r="AF62" s="38" t="n">
        <x:v>0.5</x:v>
      </x:c>
      <x:c r="AG62" s="38" t="n">
        <x:v>0</x:v>
      </x:c>
      <x:c r="AH62" s="38" t="n">
        <x:v>0</x:v>
      </x:c>
      <x:c r="AI62" s="38" t="n">
        <x:v>0.5</x:v>
      </x:c>
      <x:c r="AJ62" s="38" t="n">
        <x:v>1</x:v>
      </x:c>
      <x:c r="AK62" s="38" t="n">
        <x:v>0</x:v>
      </x:c>
      <x:c r="AL62" s="38" t="n">
        <x:v>1</x:v>
      </x:c>
      <x:c r="AM62" s="38" t="n">
        <x:v>0.5</x:v>
      </x:c>
      <x:c r="AN62" s="38" t="n">
        <x:v>1</x:v>
      </x:c>
      <x:c r="AO62" s="38" t="n">
        <x:v>0</x:v>
      </x:c>
      <x:c r="AP62" s="38" t="n">
        <x:v>0</x:v>
      </x:c>
      <x:c r="AQ62" s="28" t="str">
        <x:v>300处功率330为观测峰，删除峰后不稳定；末端隐含电压超出曲线范围，有明确范围边界。</x:v>
      </x:c>
      <x:c r="AR62" s="28" t="str">
        <x:v>https://raw.githubusercontent.com/ZYDTR/truthinsightbench-dwf-scoring/main/runs/Energy_02_flow_battery_operating_boundary/workspace/output/Result.md</x:v>
      </x:c>
      <x:c r="AS62" s="28" t="str">
        <x:v>待核验；暂不计入</x:v>
      </x:c>
    </x:row>
    <x:row r="63" ht="65" customHeight="1">
      <x:c r="A63" s="14" t="n">
        <x:v>58</x:v>
      </x:c>
      <x:c r="B63" s="14" t="str">
        <x:v>Energy_02_flow_battery_operating_boundary</x:v>
      </x:c>
      <x:c r="C63" s="14" t="str">
        <x:v>F4</x:v>
      </x:c>
      <x:c r="D63" s="28" t="str">
        <x:v>效率损失具有曲率</x:v>
      </x:c>
      <x:c r="E63" s="14" t="str">
        <x:v>G5</x:v>
      </x:c>
      <x:c r="F63" s="14" t="n">
        <x:v>0</x:v>
      </x:c>
      <x:c r="G63" s="36" t="n">
        <x:f>SUMPRODUCT(N63:AP63,$N$4:$AP$4)</x:f>
        <x:v>65</x:v>
      </x:c>
      <x:c r="H63" s="36" t="n">
        <x:f>SUMPRODUCT(N63:U63,$N$4:$U$4)</x:f>
        <x:v>32.5</x:v>
      </x:c>
      <x:c r="I63" s="36" t="n">
        <x:f>SUMPRODUCT(V63:Z63,$V$4:$Z$4)</x:f>
        <x:v>10.5</x:v>
      </x:c>
      <x:c r="J63" s="36" t="n">
        <x:f>SUMPRODUCT(AA63:AE63,$AA$4:$AE$4)</x:f>
        <x:v>13.5</x:v>
      </x:c>
      <x:c r="K63" s="36" t="n">
        <x:f>SUMPRODUCT(AF63:AI63,$AF$4:$AI$4)</x:f>
        <x:v>2</x:v>
      </x:c>
      <x:c r="L63" s="36" t="n">
        <x:f>SUMPRODUCT(AJ63:AK63,$AJ$4:$AK$4)</x:f>
        <x:v>4</x:v>
      </x:c>
      <x:c r="M63" s="36" t="n">
        <x:f>SUMPRODUCT(AL63:AP63,$AL$4:$AP$4)</x:f>
        <x:v>2.5</x:v>
      </x:c>
      <x:c r="N63" s="38" t="n">
        <x:v>0.5</x:v>
      </x:c>
      <x:c r="O63" s="38" t="n">
        <x:v>1</x:v>
      </x:c>
      <x:c r="P63" s="38" t="n">
        <x:v>0.5</x:v>
      </x:c>
      <x:c r="Q63" s="38" t="n">
        <x:v>1</x:v>
      </x:c>
      <x:c r="R63" s="38" t="n">
        <x:v>0.5</x:v>
      </x:c>
      <x:c r="S63" s="38" t="n">
        <x:v>0.5</x:v>
      </x:c>
      <x:c r="T63" s="38" t="n">
        <x:v>1</x:v>
      </x:c>
      <x:c r="U63" s="38" t="n">
        <x:v>1</x:v>
      </x:c>
      <x:c r="V63" s="38" t="n">
        <x:v>0.5</x:v>
      </x:c>
      <x:c r="W63" s="38" t="n">
        <x:v>0</x:v>
      </x:c>
      <x:c r="X63" s="38" t="n">
        <x:v>1</x:v>
      </x:c>
      <x:c r="Y63" s="38" t="n">
        <x:v>1</x:v>
      </x:c>
      <x:c r="Z63" s="38" t="n">
        <x:v>1</x:v>
      </x:c>
      <x:c r="AA63" s="38" t="n">
        <x:v>1</x:v>
      </x:c>
      <x:c r="AB63" s="38" t="n">
        <x:v>1</x:v>
      </x:c>
      <x:c r="AC63" s="38" t="n">
        <x:v>1</x:v>
      </x:c>
      <x:c r="AD63" s="38" t="n">
        <x:v>1</x:v>
      </x:c>
      <x:c r="AE63" s="38" t="n">
        <x:v>0.5</x:v>
      </x:c>
      <x:c r="AF63" s="38" t="n">
        <x:v>0.5</x:v>
      </x:c>
      <x:c r="AG63" s="38" t="n">
        <x:v>0</x:v>
      </x:c>
      <x:c r="AH63" s="38" t="n">
        <x:v>0</x:v>
      </x:c>
      <x:c r="AI63" s="38" t="n">
        <x:v>0.5</x:v>
      </x:c>
      <x:c r="AJ63" s="38" t="n">
        <x:v>1</x:v>
      </x:c>
      <x:c r="AK63" s="38" t="n">
        <x:v>0</x:v>
      </x:c>
      <x:c r="AL63" s="38" t="n">
        <x:v>1</x:v>
      </x:c>
      <x:c r="AM63" s="38" t="n">
        <x:v>0.5</x:v>
      </x:c>
      <x:c r="AN63" s="38" t="n">
        <x:v>1</x:v>
      </x:c>
      <x:c r="AO63" s="38" t="n">
        <x:v>0</x:v>
      </x:c>
      <x:c r="AP63" s="38" t="n">
        <x:v>0</x:v>
      </x:c>
      <x:c r="AQ63" s="28" t="str">
        <x:v>局部斜率与二次/幂函数均支持非线性下降；没有量测重复，局部导数对舍入敏感。</x:v>
      </x:c>
      <x:c r="AR63" s="28" t="str">
        <x:v>https://raw.githubusercontent.com/ZYDTR/truthinsightbench-dwf-scoring/main/runs/Energy_02_flow_battery_operating_boundary/workspace/output/Result.md</x:v>
      </x:c>
      <x:c r="AS63" s="28" t="str">
        <x:v>待核验；暂不计入</x:v>
      </x:c>
    </x:row>
    <x:row r="64" ht="65" customHeight="1">
      <x:c r="A64" s="14" t="n">
        <x:v>59</x:v>
      </x:c>
      <x:c r="B64" s="14" t="str">
        <x:v>Energy_02_flow_battery_operating_boundary</x:v>
      </x:c>
      <x:c r="C64" s="14" t="str">
        <x:v>F5</x:v>
      </x:c>
      <x:c r="D64" s="28" t="str">
        <x:v>循环衰减可见但分段改变未定</x:v>
      </x:c>
      <x:c r="E64" s="14" t="str">
        <x:v>G1</x:v>
      </x:c>
      <x:c r="F64" s="14" t="n">
        <x:v>0</x:v>
      </x:c>
      <x:c r="G64" s="36" t="n">
        <x:f>SUMPRODUCT(N64:AP64,$N$4:$AP$4)</x:f>
        <x:v>68.5</x:v>
      </x:c>
      <x:c r="H64" s="36" t="n">
        <x:f>SUMPRODUCT(N64:U64,$N$4:$U$4)</x:f>
        <x:v>32.5</x:v>
      </x:c>
      <x:c r="I64" s="36" t="n">
        <x:f>SUMPRODUCT(V64:Z64,$V$4:$Z$4)</x:f>
        <x:v>12</x:v>
      </x:c>
      <x:c r="J64" s="36" t="n">
        <x:f>SUMPRODUCT(AA64:AE64,$AA$4:$AE$4)</x:f>
        <x:v>13.5</x:v>
      </x:c>
      <x:c r="K64" s="36" t="n">
        <x:f>SUMPRODUCT(AF64:AI64,$AF$4:$AI$4)</x:f>
        <x:v>4</x:v>
      </x:c>
      <x:c r="L64" s="36" t="n">
        <x:f>SUMPRODUCT(AJ64:AK64,$AJ$4:$AK$4)</x:f>
        <x:v>4</x:v>
      </x:c>
      <x:c r="M64" s="36" t="n">
        <x:f>SUMPRODUCT(AL64:AP64,$AL$4:$AP$4)</x:f>
        <x:v>2.5</x:v>
      </x:c>
      <x:c r="N64" s="38" t="n">
        <x:v>0.5</x:v>
      </x:c>
      <x:c r="O64" s="38" t="n">
        <x:v>1</x:v>
      </x:c>
      <x:c r="P64" s="38" t="n">
        <x:v>0.5</x:v>
      </x:c>
      <x:c r="Q64" s="38" t="n">
        <x:v>1</x:v>
      </x:c>
      <x:c r="R64" s="38" t="n">
        <x:v>0.5</x:v>
      </x:c>
      <x:c r="S64" s="38" t="n">
        <x:v>0.5</x:v>
      </x:c>
      <x:c r="T64" s="38" t="n">
        <x:v>1</x:v>
      </x:c>
      <x:c r="U64" s="38" t="n">
        <x:v>1</x:v>
      </x:c>
      <x:c r="V64" s="38" t="n">
        <x:v>1</x:v>
      </x:c>
      <x:c r="W64" s="38" t="n">
        <x:v>0</x:v>
      </x:c>
      <x:c r="X64" s="38" t="n">
        <x:v>1</x:v>
      </x:c>
      <x:c r="Y64" s="38" t="n">
        <x:v>1</x:v>
      </x:c>
      <x:c r="Z64" s="38" t="n">
        <x:v>1</x:v>
      </x:c>
      <x:c r="AA64" s="38" t="n">
        <x:v>1</x:v>
      </x:c>
      <x:c r="AB64" s="38" t="n">
        <x:v>1</x:v>
      </x:c>
      <x:c r="AC64" s="38" t="n">
        <x:v>1</x:v>
      </x:c>
      <x:c r="AD64" s="38" t="n">
        <x:v>1</x:v>
      </x:c>
      <x:c r="AE64" s="38" t="n">
        <x:v>0.5</x:v>
      </x:c>
      <x:c r="AF64" s="38" t="n">
        <x:v>1</x:v>
      </x:c>
      <x:c r="AG64" s="38" t="n">
        <x:v>0</x:v>
      </x:c>
      <x:c r="AH64" s="38" t="n">
        <x:v>0</x:v>
      </x:c>
      <x:c r="AI64" s="38" t="n">
        <x:v>1</x:v>
      </x:c>
      <x:c r="AJ64" s="38" t="n">
        <x:v>1</x:v>
      </x:c>
      <x:c r="AK64" s="38" t="n">
        <x:v>0</x:v>
      </x:c>
      <x:c r="AL64" s="38" t="n">
        <x:v>1</x:v>
      </x:c>
      <x:c r="AM64" s="38" t="n">
        <x:v>0.5</x:v>
      </x:c>
      <x:c r="AN64" s="38" t="n">
        <x:v>1</x:v>
      </x:c>
      <x:c r="AO64" s="38" t="n">
        <x:v>0</x:v>
      </x:c>
      <x:c r="AP64" s="38" t="n">
        <x:v>0</x:v>
      </x:c>
      <x:c r="AQ64" s="28" t="str">
        <x:v>分块区间支持负斜率，变化点在分块零模型中不显著；不能把平台窗口当稳健机制。</x:v>
      </x:c>
      <x:c r="AR64" s="28" t="str">
        <x:v>https://raw.githubusercontent.com/ZYDTR/truthinsightbench-dwf-scoring/main/runs/Energy_02_flow_battery_operating_boundary/workspace/output/Result.md</x:v>
      </x:c>
      <x:c r="AS64" s="28" t="str">
        <x:v>待核验；暂不计入</x:v>
      </x:c>
    </x:row>
    <x:row r="65" ht="65" customHeight="1">
      <x:c r="A65" s="14" t="n">
        <x:v>60</x:v>
      </x:c>
      <x:c r="B65" s="14" t="str">
        <x:v>Energy_03_interface_response_boundaries</x:v>
      </x:c>
      <x:c r="C65" s="14" t="str">
        <x:v>F1</x:v>
      </x:c>
      <x:c r="D65" s="28" t="str">
        <x:v>对数曲线高温弯曲普遍存在</x:v>
      </x:c>
      <x:c r="E65" s="14" t="str">
        <x:v>G2</x:v>
      </x:c>
      <x:c r="F65" s="14" t="n">
        <x:v>0</x:v>
      </x:c>
      <x:c r="G65" s="36" t="n">
        <x:f>SUMPRODUCT(N65:AP65,$N$4:$AP$4)</x:f>
        <x:v>66.5</x:v>
      </x:c>
      <x:c r="H65" s="36" t="n">
        <x:f>SUMPRODUCT(N65:U65,$N$4:$U$4)</x:f>
        <x:v>32.5</x:v>
      </x:c>
      <x:c r="I65" s="36" t="n">
        <x:f>SUMPRODUCT(V65:Z65,$V$4:$Z$4)</x:f>
        <x:v>12</x:v>
      </x:c>
      <x:c r="J65" s="36" t="n">
        <x:f>SUMPRODUCT(AA65:AE65,$AA$4:$AE$4)</x:f>
        <x:v>13.5</x:v>
      </x:c>
      <x:c r="K65" s="36" t="n">
        <x:f>SUMPRODUCT(AF65:AI65,$AF$4:$AI$4)</x:f>
        <x:v>2</x:v>
      </x:c>
      <x:c r="L65" s="36" t="n">
        <x:f>SUMPRODUCT(AJ65:AK65,$AJ$4:$AK$4)</x:f>
        <x:v>4</x:v>
      </x:c>
      <x:c r="M65" s="36" t="n">
        <x:f>SUMPRODUCT(AL65:AP65,$AL$4:$AP$4)</x:f>
        <x:v>2.5</x:v>
      </x:c>
      <x:c r="N65" s="38" t="n">
        <x:v>0.5</x:v>
      </x:c>
      <x:c r="O65" s="38" t="n">
        <x:v>1</x:v>
      </x:c>
      <x:c r="P65" s="38" t="n">
        <x:v>0.5</x:v>
      </x:c>
      <x:c r="Q65" s="38" t="n">
        <x:v>1</x:v>
      </x:c>
      <x:c r="R65" s="38" t="n">
        <x:v>0.5</x:v>
      </x:c>
      <x:c r="S65" s="38" t="n">
        <x:v>0.5</x:v>
      </x:c>
      <x:c r="T65" s="38" t="n">
        <x:v>1</x:v>
      </x:c>
      <x:c r="U65" s="38" t="n">
        <x:v>1</x:v>
      </x:c>
      <x:c r="V65" s="38" t="n">
        <x:v>1</x:v>
      </x:c>
      <x:c r="W65" s="38" t="n">
        <x:v>0</x:v>
      </x:c>
      <x:c r="X65" s="38" t="n">
        <x:v>1</x:v>
      </x:c>
      <x:c r="Y65" s="38" t="n">
        <x:v>1</x:v>
      </x:c>
      <x:c r="Z65" s="38" t="n">
        <x:v>1</x:v>
      </x:c>
      <x:c r="AA65" s="38" t="n">
        <x:v>1</x:v>
      </x:c>
      <x:c r="AB65" s="38" t="n">
        <x:v>1</x:v>
      </x:c>
      <x:c r="AC65" s="38" t="n">
        <x:v>1</x:v>
      </x:c>
      <x:c r="AD65" s="38" t="n">
        <x:v>1</x:v>
      </x:c>
      <x:c r="AE65" s="38" t="n">
        <x:v>0.5</x:v>
      </x:c>
      <x:c r="AF65" s="38" t="n">
        <x:v>0.5</x:v>
      </x:c>
      <x:c r="AG65" s="38" t="n">
        <x:v>0</x:v>
      </x:c>
      <x:c r="AH65" s="38" t="n">
        <x:v>0</x:v>
      </x:c>
      <x:c r="AI65" s="38" t="n">
        <x:v>0.5</x:v>
      </x:c>
      <x:c r="AJ65" s="38" t="n">
        <x:v>1</x:v>
      </x:c>
      <x:c r="AK65" s="38" t="n">
        <x:v>0</x:v>
      </x:c>
      <x:c r="AL65" s="38" t="n">
        <x:v>1</x:v>
      </x:c>
      <x:c r="AM65" s="38" t="n">
        <x:v>0.5</x:v>
      </x:c>
      <x:c r="AN65" s="38" t="n">
        <x:v>1</x:v>
      </x:c>
      <x:c r="AO65" s="38" t="n">
        <x:v>0</x:v>
      </x:c>
      <x:c r="AP65" s="38" t="n">
        <x:v>0</x:v>
      </x:c>
      <x:c r="AQ65" s="28" t="str">
        <x:v>12条高温对数曲线曲率均负；原尺度不是全部同向，已限定分析尺度。</x:v>
      </x:c>
      <x:c r="AR65" s="28" t="str">
        <x:v>https://raw.githubusercontent.com/ZYDTR/truthinsightbench-dwf-scoring/main/runs/Energy_03_interface_response_boundaries/workspace/output/Result.md</x:v>
      </x:c>
      <x:c r="AS65" s="28" t="str">
        <x:v>待核验；暂不计入</x:v>
      </x:c>
    </x:row>
    <x:row r="66" ht="65" customHeight="1">
      <x:c r="A66" s="14" t="n">
        <x:v>61</x:v>
      </x:c>
      <x:c r="B66" s="14" t="str">
        <x:v>Energy_03_interface_response_boundaries</x:v>
      </x:c>
      <x:c r="C66" s="14" t="str">
        <x:v>F2</x:v>
      </x:c>
      <x:c r="D66" s="28" t="str">
        <x:v>有效斜率存在条件差异</x:v>
      </x:c>
      <x:c r="E66" s="14" t="str">
        <x:v>G3</x:v>
      </x:c>
      <x:c r="F66" s="14" t="n">
        <x:v>0</x:v>
      </x:c>
      <x:c r="G66" s="36" t="n">
        <x:f>SUMPRODUCT(N66:AP66,$N$4:$AP$4)</x:f>
        <x:v>66.5</x:v>
      </x:c>
      <x:c r="H66" s="36" t="n">
        <x:f>SUMPRODUCT(N66:U66,$N$4:$U$4)</x:f>
        <x:v>32.5</x:v>
      </x:c>
      <x:c r="I66" s="36" t="n">
        <x:f>SUMPRODUCT(V66:Z66,$V$4:$Z$4)</x:f>
        <x:v>12</x:v>
      </x:c>
      <x:c r="J66" s="36" t="n">
        <x:f>SUMPRODUCT(AA66:AE66,$AA$4:$AE$4)</x:f>
        <x:v>13.5</x:v>
      </x:c>
      <x:c r="K66" s="36" t="n">
        <x:f>SUMPRODUCT(AF66:AI66,$AF$4:$AI$4)</x:f>
        <x:v>2</x:v>
      </x:c>
      <x:c r="L66" s="36" t="n">
        <x:f>SUMPRODUCT(AJ66:AK66,$AJ$4:$AK$4)</x:f>
        <x:v>4</x:v>
      </x:c>
      <x:c r="M66" s="36" t="n">
        <x:f>SUMPRODUCT(AL66:AP66,$AL$4:$AP$4)</x:f>
        <x:v>2.5</x:v>
      </x:c>
      <x:c r="N66" s="38" t="n">
        <x:v>0.5</x:v>
      </x:c>
      <x:c r="O66" s="38" t="n">
        <x:v>1</x:v>
      </x:c>
      <x:c r="P66" s="38" t="n">
        <x:v>0.5</x:v>
      </x:c>
      <x:c r="Q66" s="38" t="n">
        <x:v>1</x:v>
      </x:c>
      <x:c r="R66" s="38" t="n">
        <x:v>0.5</x:v>
      </x:c>
      <x:c r="S66" s="38" t="n">
        <x:v>0.5</x:v>
      </x:c>
      <x:c r="T66" s="38" t="n">
        <x:v>1</x:v>
      </x:c>
      <x:c r="U66" s="38" t="n">
        <x:v>1</x:v>
      </x:c>
      <x:c r="V66" s="38" t="n">
        <x:v>1</x:v>
      </x:c>
      <x:c r="W66" s="38" t="n">
        <x:v>0</x:v>
      </x:c>
      <x:c r="X66" s="38" t="n">
        <x:v>1</x:v>
      </x:c>
      <x:c r="Y66" s="38" t="n">
        <x:v>1</x:v>
      </x:c>
      <x:c r="Z66" s="38" t="n">
        <x:v>1</x:v>
      </x:c>
      <x:c r="AA66" s="38" t="n">
        <x:v>1</x:v>
      </x:c>
      <x:c r="AB66" s="38" t="n">
        <x:v>1</x:v>
      </x:c>
      <x:c r="AC66" s="38" t="n">
        <x:v>1</x:v>
      </x:c>
      <x:c r="AD66" s="38" t="n">
        <x:v>1</x:v>
      </x:c>
      <x:c r="AE66" s="38" t="n">
        <x:v>0.5</x:v>
      </x:c>
      <x:c r="AF66" s="38" t="n">
        <x:v>0.5</x:v>
      </x:c>
      <x:c r="AG66" s="38" t="n">
        <x:v>0</x:v>
      </x:c>
      <x:c r="AH66" s="38" t="n">
        <x:v>0</x:v>
      </x:c>
      <x:c r="AI66" s="38" t="n">
        <x:v>0.5</x:v>
      </x:c>
      <x:c r="AJ66" s="38" t="n">
        <x:v>1</x:v>
      </x:c>
      <x:c r="AK66" s="38" t="n">
        <x:v>0</x:v>
      </x:c>
      <x:c r="AL66" s="38" t="n">
        <x:v>1</x:v>
      </x:c>
      <x:c r="AM66" s="38" t="n">
        <x:v>0.5</x:v>
      </x:c>
      <x:c r="AN66" s="38" t="n">
        <x:v>1</x:v>
      </x:c>
      <x:c r="AO66" s="38" t="n">
        <x:v>0</x:v>
      </x:c>
      <x:c r="AP66" s="38" t="n">
        <x:v>0</x:v>
      </x:c>
      <x:c r="AQ66" s="28" t="str">
        <x:v>斜率范围与比例经更正，仍不能区分本征能量与接近饱和的位置效应。</x:v>
      </x:c>
      <x:c r="AR66" s="28" t="str">
        <x:v>https://raw.githubusercontent.com/ZYDTR/truthinsightbench-dwf-scoring/main/runs/Energy_03_interface_response_boundaries/workspace/output/Result.md</x:v>
      </x:c>
      <x:c r="AS66" s="28" t="str">
        <x:v>待核验；暂不计入</x:v>
      </x:c>
    </x:row>
    <x:row r="67" ht="65" customHeight="1">
      <x:c r="A67" s="14" t="n">
        <x:v>62</x:v>
      </x:c>
      <x:c r="B67" s="14" t="str">
        <x:v>Energy_03_interface_response_boundaries</x:v>
      </x:c>
      <x:c r="C67" s="14" t="str">
        <x:v>F3</x:v>
      </x:c>
      <x:c r="D67" s="28" t="str">
        <x:v>中间区间排序比端点稳定</x:v>
      </x:c>
      <x:c r="E67" s="14" t="str">
        <x:v>G4</x:v>
      </x:c>
      <x:c r="F67" s="14" t="n">
        <x:v>0</x:v>
      </x:c>
      <x:c r="G67" s="36" t="n">
        <x:f>SUMPRODUCT(N67:AP67,$N$4:$AP$4)</x:f>
        <x:v>65</x:v>
      </x:c>
      <x:c r="H67" s="36" t="n">
        <x:f>SUMPRODUCT(N67:U67,$N$4:$U$4)</x:f>
        <x:v>32.5</x:v>
      </x:c>
      <x:c r="I67" s="36" t="n">
        <x:f>SUMPRODUCT(V67:Z67,$V$4:$Z$4)</x:f>
        <x:v>12</x:v>
      </x:c>
      <x:c r="J67" s="36" t="n">
        <x:f>SUMPRODUCT(AA67:AE67,$AA$4:$AE$4)</x:f>
        <x:v>12</x:v>
      </x:c>
      <x:c r="K67" s="36" t="n">
        <x:f>SUMPRODUCT(AF67:AI67,$AF$4:$AI$4)</x:f>
        <x:v>2</x:v>
      </x:c>
      <x:c r="L67" s="36" t="n">
        <x:f>SUMPRODUCT(AJ67:AK67,$AJ$4:$AK$4)</x:f>
        <x:v>4</x:v>
      </x:c>
      <x:c r="M67" s="36" t="n">
        <x:f>SUMPRODUCT(AL67:AP67,$AL$4:$AP$4)</x:f>
        <x:v>2.5</x:v>
      </x:c>
      <x:c r="N67" s="38" t="n">
        <x:v>0.5</x:v>
      </x:c>
      <x:c r="O67" s="38" t="n">
        <x:v>1</x:v>
      </x:c>
      <x:c r="P67" s="38" t="n">
        <x:v>0.5</x:v>
      </x:c>
      <x:c r="Q67" s="38" t="n">
        <x:v>1</x:v>
      </x:c>
      <x:c r="R67" s="38" t="n">
        <x:v>0.5</x:v>
      </x:c>
      <x:c r="S67" s="38" t="n">
        <x:v>0.5</x:v>
      </x:c>
      <x:c r="T67" s="38" t="n">
        <x:v>1</x:v>
      </x:c>
      <x:c r="U67" s="38" t="n">
        <x:v>1</x:v>
      </x:c>
      <x:c r="V67" s="38" t="n">
        <x:v>1</x:v>
      </x:c>
      <x:c r="W67" s="38" t="n">
        <x:v>0</x:v>
      </x:c>
      <x:c r="X67" s="38" t="n">
        <x:v>1</x:v>
      </x:c>
      <x:c r="Y67" s="38" t="n">
        <x:v>1</x:v>
      </x:c>
      <x:c r="Z67" s="38" t="n">
        <x:v>1</x:v>
      </x:c>
      <x:c r="AA67" s="38" t="n">
        <x:v>1</x:v>
      </x:c>
      <x:c r="AB67" s="38" t="n">
        <x:v>0.5</x:v>
      </x:c>
      <x:c r="AC67" s="38" t="n">
        <x:v>1</x:v>
      </x:c>
      <x:c r="AD67" s="38" t="n">
        <x:v>1</x:v>
      </x:c>
      <x:c r="AE67" s="38" t="n">
        <x:v>0.5</x:v>
      </x:c>
      <x:c r="AF67" s="38" t="n">
        <x:v>0.5</x:v>
      </x:c>
      <x:c r="AG67" s="38" t="n">
        <x:v>0</x:v>
      </x:c>
      <x:c r="AH67" s="38" t="n">
        <x:v>0</x:v>
      </x:c>
      <x:c r="AI67" s="38" t="n">
        <x:v>0.5</x:v>
      </x:c>
      <x:c r="AJ67" s="38" t="n">
        <x:v>1</x:v>
      </x:c>
      <x:c r="AK67" s="38" t="n">
        <x:v>0</x:v>
      </x:c>
      <x:c r="AL67" s="38" t="n">
        <x:v>1</x:v>
      </x:c>
      <x:c r="AM67" s="38" t="n">
        <x:v>0.5</x:v>
      </x:c>
      <x:c r="AN67" s="38" t="n">
        <x:v>1</x:v>
      </x:c>
      <x:c r="AO67" s="38" t="n">
        <x:v>0</x:v>
      </x:c>
      <x:c r="AP67" s="38" t="n">
        <x:v>0</x:v>
      </x:c>
      <x:c r="AQ67" s="28" t="str">
        <x:v>分温区和删条件分析定位排序边界；端点相关弱，不支持全范围不变序。</x:v>
      </x:c>
      <x:c r="AR67" s="28" t="str">
        <x:v>https://raw.githubusercontent.com/ZYDTR/truthinsightbench-dwf-scoring/main/runs/Energy_03_interface_response_boundaries/workspace/output/Result.md</x:v>
      </x:c>
      <x:c r="AS67" s="28" t="str">
        <x:v>待核验；暂不计入</x:v>
      </x:c>
    </x:row>
    <x:row r="68" ht="65" customHeight="1">
      <x:c r="A68" s="14" t="n">
        <x:v>63</x:v>
      </x:c>
      <x:c r="B68" s="14" t="str">
        <x:v>Energy_03_interface_response_boundaries</x:v>
      </x:c>
      <x:c r="C68" s="14" t="str">
        <x:v>F4</x:v>
      </x:c>
      <x:c r="D68" s="28" t="str">
        <x:v>留出预测偏向饱和模型但天花板未观测</x:v>
      </x:c>
      <x:c r="E68" s="14" t="str">
        <x:v>G1</x:v>
      </x:c>
      <x:c r="F68" s="14" t="n">
        <x:v>0</x:v>
      </x:c>
      <x:c r="G68" s="36" t="n">
        <x:f>SUMPRODUCT(N68:AP68,$N$4:$AP$4)</x:f>
        <x:v>68.5</x:v>
      </x:c>
      <x:c r="H68" s="36" t="n">
        <x:f>SUMPRODUCT(N68:U68,$N$4:$U$4)</x:f>
        <x:v>32.5</x:v>
      </x:c>
      <x:c r="I68" s="36" t="n">
        <x:f>SUMPRODUCT(V68:Z68,$V$4:$Z$4)</x:f>
        <x:v>12</x:v>
      </x:c>
      <x:c r="J68" s="36" t="n">
        <x:f>SUMPRODUCT(AA68:AE68,$AA$4:$AE$4)</x:f>
        <x:v>13.5</x:v>
      </x:c>
      <x:c r="K68" s="36" t="n">
        <x:f>SUMPRODUCT(AF68:AI68,$AF$4:$AI$4)</x:f>
        <x:v>4</x:v>
      </x:c>
      <x:c r="L68" s="36" t="n">
        <x:f>SUMPRODUCT(AJ68:AK68,$AJ$4:$AK$4)</x:f>
        <x:v>4</x:v>
      </x:c>
      <x:c r="M68" s="36" t="n">
        <x:f>SUMPRODUCT(AL68:AP68,$AL$4:$AP$4)</x:f>
        <x:v>2.5</x:v>
      </x:c>
      <x:c r="N68" s="38" t="n">
        <x:v>0.5</x:v>
      </x:c>
      <x:c r="O68" s="38" t="n">
        <x:v>1</x:v>
      </x:c>
      <x:c r="P68" s="38" t="n">
        <x:v>0.5</x:v>
      </x:c>
      <x:c r="Q68" s="38" t="n">
        <x:v>1</x:v>
      </x:c>
      <x:c r="R68" s="38" t="n">
        <x:v>0.5</x:v>
      </x:c>
      <x:c r="S68" s="38" t="n">
        <x:v>0.5</x:v>
      </x:c>
      <x:c r="T68" s="38" t="n">
        <x:v>1</x:v>
      </x:c>
      <x:c r="U68" s="38" t="n">
        <x:v>1</x:v>
      </x:c>
      <x:c r="V68" s="38" t="n">
        <x:v>1</x:v>
      </x:c>
      <x:c r="W68" s="38" t="n">
        <x:v>0</x:v>
      </x:c>
      <x:c r="X68" s="38" t="n">
        <x:v>1</x:v>
      </x:c>
      <x:c r="Y68" s="38" t="n">
        <x:v>1</x:v>
      </x:c>
      <x:c r="Z68" s="38" t="n">
        <x:v>1</x:v>
      </x:c>
      <x:c r="AA68" s="38" t="n">
        <x:v>1</x:v>
      </x:c>
      <x:c r="AB68" s="38" t="n">
        <x:v>1</x:v>
      </x:c>
      <x:c r="AC68" s="38" t="n">
        <x:v>1</x:v>
      </x:c>
      <x:c r="AD68" s="38" t="n">
        <x:v>1</x:v>
      </x:c>
      <x:c r="AE68" s="38" t="n">
        <x:v>0.5</x:v>
      </x:c>
      <x:c r="AF68" s="38" t="n">
        <x:v>1</x:v>
      </x:c>
      <x:c r="AG68" s="38" t="n">
        <x:v>0</x:v>
      </x:c>
      <x:c r="AH68" s="38" t="n">
        <x:v>0</x:v>
      </x:c>
      <x:c r="AI68" s="38" t="n">
        <x:v>1</x:v>
      </x:c>
      <x:c r="AJ68" s="38" t="n">
        <x:v>1</x:v>
      </x:c>
      <x:c r="AK68" s="38" t="n">
        <x:v>0</x:v>
      </x:c>
      <x:c r="AL68" s="38" t="n">
        <x:v>1</x:v>
      </x:c>
      <x:c r="AM68" s="38" t="n">
        <x:v>0.5</x:v>
      </x:c>
      <x:c r="AN68" s="38" t="n">
        <x:v>1</x:v>
      </x:c>
      <x:c r="AO68" s="38" t="n">
        <x:v>0</x:v>
      </x:c>
      <x:c r="AP68" s="38" t="n">
        <x:v>0</x:v>
      </x:c>
      <x:c r="AQ68" s="28" t="str">
        <x:v>训练≤280、预测300/320的比较有实质性分离；上限位置仍欠稳定，不等于已测得天花板。</x:v>
      </x:c>
      <x:c r="AR68" s="28" t="str">
        <x:v>https://raw.githubusercontent.com/ZYDTR/truthinsightbench-dwf-scoring/main/runs/Energy_03_interface_response_boundaries/workspace/output/Result.md</x:v>
      </x:c>
      <x:c r="AS68" s="28" t="str">
        <x:v>待核验；暂不计入</x:v>
      </x:c>
    </x:row>
    <x:row r="69" ht="65" customHeight="1">
      <x:c r="A69" s="14" t="n">
        <x:v>64</x:v>
      </x:c>
      <x:c r="B69" s="14" t="str">
        <x:v>Energy_03_interface_response_boundaries</x:v>
      </x:c>
      <x:c r="C69" s="14" t="str">
        <x:v>F5</x:v>
      </x:c>
      <x:c r="D69" s="28" t="str">
        <x:v>核对数据部分为完全重复</x:v>
      </x:c>
      <x:c r="E69" s="14" t="str">
        <x:v>G5</x:v>
      </x:c>
      <x:c r="F69" s="14" t="n">
        <x:v>0</x:v>
      </x:c>
      <x:c r="G69" s="36" t="n">
        <x:f>SUMPRODUCT(N69:AP69,$N$4:$AP$4)</x:f>
        <x:v>63.5</x:v>
      </x:c>
      <x:c r="H69" s="36" t="n">
        <x:f>SUMPRODUCT(N69:U69,$N$4:$U$4)</x:f>
        <x:v>32.5</x:v>
      </x:c>
      <x:c r="I69" s="36" t="n">
        <x:f>SUMPRODUCT(V69:Z69,$V$4:$Z$4)</x:f>
        <x:v>10.5</x:v>
      </x:c>
      <x:c r="J69" s="36" t="n">
        <x:f>SUMPRODUCT(AA69:AE69,$AA$4:$AE$4)</x:f>
        <x:v>13.5</x:v>
      </x:c>
      <x:c r="K69" s="36" t="n">
        <x:f>SUMPRODUCT(AF69:AI69,$AF$4:$AI$4)</x:f>
        <x:v>0</x:v>
      </x:c>
      <x:c r="L69" s="36" t="n">
        <x:f>SUMPRODUCT(AJ69:AK69,$AJ$4:$AK$4)</x:f>
        <x:v>4</x:v>
      </x:c>
      <x:c r="M69" s="36" t="n">
        <x:f>SUMPRODUCT(AL69:AP69,$AL$4:$AP$4)</x:f>
        <x:v>3</x:v>
      </x:c>
      <x:c r="N69" s="38" t="n">
        <x:v>0.5</x:v>
      </x:c>
      <x:c r="O69" s="38" t="n">
        <x:v>1</x:v>
      </x:c>
      <x:c r="P69" s="38" t="n">
        <x:v>0.5</x:v>
      </x:c>
      <x:c r="Q69" s="38" t="n">
        <x:v>1</x:v>
      </x:c>
      <x:c r="R69" s="38" t="n">
        <x:v>0.5</x:v>
      </x:c>
      <x:c r="S69" s="38" t="n">
        <x:v>0.5</x:v>
      </x:c>
      <x:c r="T69" s="38" t="n">
        <x:v>1</x:v>
      </x:c>
      <x:c r="U69" s="38" t="n">
        <x:v>1</x:v>
      </x:c>
      <x:c r="V69" s="38" t="n">
        <x:v>0.5</x:v>
      </x:c>
      <x:c r="W69" s="38" t="n">
        <x:v>0</x:v>
      </x:c>
      <x:c r="X69" s="38" t="n">
        <x:v>1</x:v>
      </x:c>
      <x:c r="Y69" s="38" t="n">
        <x:v>1</x:v>
      </x:c>
      <x:c r="Z69" s="38" t="n">
        <x:v>1</x:v>
      </x:c>
      <x:c r="AA69" s="38" t="n">
        <x:v>1</x:v>
      </x:c>
      <x:c r="AB69" s="38" t="n">
        <x:v>1</x:v>
      </x:c>
      <x:c r="AC69" s="38" t="n">
        <x:v>1</x:v>
      </x:c>
      <x:c r="AD69" s="38" t="n">
        <x:v>1</x:v>
      </x:c>
      <x:c r="AE69" s="38" t="n">
        <x:v>0.5</x:v>
      </x:c>
      <x:c r="AF69" s="38" t="n">
        <x:v>0</x:v>
      </x:c>
      <x:c r="AG69" s="38" t="n">
        <x:v>0</x:v>
      </x:c>
      <x:c r="AH69" s="38" t="n">
        <x:v>0</x:v>
      </x:c>
      <x:c r="AI69" s="38" t="n">
        <x:v>0</x:v>
      </x:c>
      <x:c r="AJ69" s="38" t="n">
        <x:v>1</x:v>
      </x:c>
      <x:c r="AK69" s="38" t="n">
        <x:v>0</x:v>
      </x:c>
      <x:c r="AL69" s="38" t="n">
        <x:v>0.5</x:v>
      </x:c>
      <x:c r="AM69" s="38" t="n">
        <x:v>0.5</x:v>
      </x:c>
      <x:c r="AN69" s="38" t="n">
        <x:v>1</x:v>
      </x:c>
      <x:c r="AO69" s="38" t="n">
        <x:v>1</x:v>
      </x:c>
      <x:c r="AP69" s="38" t="n">
        <x:v>0</x:v>
      </x:c>
      <x:c r="AQ69" s="28" t="str">
        <x:v>2/4轨迹逐值重复，另外共享曲线只是近似；直接否定把核对集全部视为新独立证据。</x:v>
      </x:c>
      <x:c r="AR69" s="28" t="str">
        <x:v>https://raw.githubusercontent.com/ZYDTR/truthinsightbench-dwf-scoring/main/runs/Energy_03_interface_response_boundaries/workspace/output/Result.md</x:v>
      </x:c>
      <x:c r="AS69" s="28" t="str">
        <x:v>待核验；暂不计入</x:v>
      </x:c>
    </x:row>
    <x:row r="70" ht="65" customHeight="1">
      <x:c r="A70" s="14" t="n">
        <x:v>65</x:v>
      </x:c>
      <x:c r="B70" s="14" t="str">
        <x:v>Energy_04_biohybrid_operating_tradeoffs</x:v>
      </x:c>
      <x:c r="C70" s="14" t="str">
        <x:v>F1</x:v>
      </x:c>
      <x:c r="D70" s="28" t="str">
        <x:v>拼接区段结构不能证明时间轴仅局部有效</x:v>
      </x:c>
      <x:c r="E70" s="14" t="str">
        <x:v>G5</x:v>
      </x:c>
      <x:c r="F70" s="14" t="n">
        <x:v>0</x:v>
      </x:c>
      <x:c r="G70" s="36" t="n">
        <x:f>SUMPRODUCT(N70:AP70,$N$4:$AP$4)</x:f>
        <x:v>50.5</x:v>
      </x:c>
      <x:c r="H70" s="36" t="n">
        <x:f>SUMPRODUCT(N70:U70,$N$4:$U$4)</x:f>
        <x:v>22.5</x:v>
      </x:c>
      <x:c r="I70" s="36" t="n">
        <x:f>SUMPRODUCT(V70:Z70,$V$4:$Z$4)</x:f>
        <x:v>9</x:v>
      </x:c>
      <x:c r="J70" s="36" t="n">
        <x:f>SUMPRODUCT(AA70:AE70,$AA$4:$AE$4)</x:f>
        <x:v>12</x:v>
      </x:c>
      <x:c r="K70" s="36" t="n">
        <x:f>SUMPRODUCT(AF70:AI70,$AF$4:$AI$4)</x:f>
        <x:v>0</x:v>
      </x:c>
      <x:c r="L70" s="36" t="n">
        <x:f>SUMPRODUCT(AJ70:AK70,$AJ$4:$AK$4)</x:f>
        <x:v>4</x:v>
      </x:c>
      <x:c r="M70" s="36" t="n">
        <x:f>SUMPRODUCT(AL70:AP70,$AL$4:$AP$4)</x:f>
        <x:v>3</x:v>
      </x:c>
      <x:c r="N70" s="38" t="n">
        <x:v>0.5</x:v>
      </x:c>
      <x:c r="O70" s="38" t="n">
        <x:v>1</x:v>
      </x:c>
      <x:c r="P70" s="38" t="n">
        <x:v>0.5</x:v>
      </x:c>
      <x:c r="Q70" s="38" t="n">
        <x:v>1</x:v>
      </x:c>
      <x:c r="R70" s="38" t="n">
        <x:v>0.5</x:v>
      </x:c>
      <x:c r="S70" s="38" t="n">
        <x:v>0.5</x:v>
      </x:c>
      <x:c r="T70" s="38" t="n">
        <x:v>0</x:v>
      </x:c>
      <x:c r="U70" s="38" t="n">
        <x:v>0.5</x:v>
      </x:c>
      <x:c r="V70" s="38" t="n">
        <x:v>0.5</x:v>
      </x:c>
      <x:c r="W70" s="38" t="n">
        <x:v>0</x:v>
      </x:c>
      <x:c r="X70" s="38" t="n">
        <x:v>1</x:v>
      </x:c>
      <x:c r="Y70" s="38" t="n">
        <x:v>1</x:v>
      </x:c>
      <x:c r="Z70" s="38" t="n">
        <x:v>0.5</x:v>
      </x:c>
      <x:c r="AA70" s="38" t="n">
        <x:v>1</x:v>
      </x:c>
      <x:c r="AB70" s="38" t="n">
        <x:v>0.5</x:v>
      </x:c>
      <x:c r="AC70" s="38" t="n">
        <x:v>1</x:v>
      </x:c>
      <x:c r="AD70" s="38" t="n">
        <x:v>1</x:v>
      </x:c>
      <x:c r="AE70" s="38" t="n">
        <x:v>0.5</x:v>
      </x:c>
      <x:c r="AF70" s="38" t="n">
        <x:v>0</x:v>
      </x:c>
      <x:c r="AG70" s="38" t="n">
        <x:v>0</x:v>
      </x:c>
      <x:c r="AH70" s="38" t="n">
        <x:v>0</x:v>
      </x:c>
      <x:c r="AI70" s="38" t="n">
        <x:v>0</x:v>
      </x:c>
      <x:c r="AJ70" s="38" t="n">
        <x:v>1</x:v>
      </x:c>
      <x:c r="AK70" s="38" t="n">
        <x:v>0</x:v>
      </x:c>
      <x:c r="AL70" s="38" t="n">
        <x:v>0.5</x:v>
      </x:c>
      <x:c r="AM70" s="38" t="n">
        <x:v>0.5</x:v>
      </x:c>
      <x:c r="AN70" s="38" t="n">
        <x:v>1</x:v>
      </x:c>
      <x:c r="AO70" s="38" t="n">
        <x:v>1</x:v>
      </x:c>
      <x:c r="AP70" s="38" t="n">
        <x:v>0</x:v>
      </x:c>
      <x:c r="AQ70" s="28" t="str">
        <x:v>三段值域与支持集不同是可观测事实，但时间取值少不自动意味着无效；只保留分段数据结构结论。</x:v>
      </x:c>
      <x:c r="AR70" s="28" t="str">
        <x:v>https://raw.githubusercontent.com/ZYDTR/truthinsightbench-dwf-scoring/main/runs/Energy_04_biohybrid_operating_tradeoffs/workspace/output/Result.md</x:v>
      </x:c>
      <x:c r="AS70" s="28" t="str">
        <x:v>待核验；暂不计入</x:v>
      </x:c>
    </x:row>
    <x:row r="71" ht="65" customHeight="1">
      <x:c r="A71" s="14" t="n">
        <x:v>66</x:v>
      </x:c>
      <x:c r="B71" s="14" t="str">
        <x:v>Energy_04_biohybrid_operating_tradeoffs</x:v>
      </x:c>
      <x:c r="C71" s="14" t="str">
        <x:v>F2</x:v>
      </x:c>
      <x:c r="D71" s="28" t="str">
        <x:v>同一时间出现分支差异</x:v>
      </x:c>
      <x:c r="E71" s="14" t="str">
        <x:v>G3</x:v>
      </x:c>
      <x:c r="F71" s="14" t="n">
        <x:v>0</x:v>
      </x:c>
      <x:c r="G71" s="36" t="n">
        <x:f>SUMPRODUCT(N71:AP71,$N$4:$AP$4)</x:f>
        <x:v>61</x:v>
      </x:c>
      <x:c r="H71" s="36" t="n">
        <x:f>SUMPRODUCT(N71:U71,$N$4:$U$4)</x:f>
        <x:v>28.5</x:v>
      </x:c>
      <x:c r="I71" s="36" t="n">
        <x:f>SUMPRODUCT(V71:Z71,$V$4:$Z$4)</x:f>
        <x:v>10.5</x:v>
      </x:c>
      <x:c r="J71" s="36" t="n">
        <x:f>SUMPRODUCT(AA71:AE71,$AA$4:$AE$4)</x:f>
        <x:v>13.5</x:v>
      </x:c>
      <x:c r="K71" s="36" t="n">
        <x:f>SUMPRODUCT(AF71:AI71,$AF$4:$AI$4)</x:f>
        <x:v>2</x:v>
      </x:c>
      <x:c r="L71" s="36" t="n">
        <x:f>SUMPRODUCT(AJ71:AK71,$AJ$4:$AK$4)</x:f>
        <x:v>4</x:v>
      </x:c>
      <x:c r="M71" s="36" t="n">
        <x:f>SUMPRODUCT(AL71:AP71,$AL$4:$AP$4)</x:f>
        <x:v>2.5</x:v>
      </x:c>
      <x:c r="N71" s="38" t="n">
        <x:v>0.5</x:v>
      </x:c>
      <x:c r="O71" s="38" t="n">
        <x:v>1</x:v>
      </x:c>
      <x:c r="P71" s="38" t="n">
        <x:v>0.5</x:v>
      </x:c>
      <x:c r="Q71" s="38" t="n">
        <x:v>1</x:v>
      </x:c>
      <x:c r="R71" s="38" t="n">
        <x:v>0.5</x:v>
      </x:c>
      <x:c r="S71" s="38" t="n">
        <x:v>0.5</x:v>
      </x:c>
      <x:c r="T71" s="38" t="n">
        <x:v>0.5</x:v>
      </x:c>
      <x:c r="U71" s="38" t="n">
        <x:v>1</x:v>
      </x:c>
      <x:c r="V71" s="38" t="n">
        <x:v>0.5</x:v>
      </x:c>
      <x:c r="W71" s="38" t="n">
        <x:v>0</x:v>
      </x:c>
      <x:c r="X71" s="38" t="n">
        <x:v>1</x:v>
      </x:c>
      <x:c r="Y71" s="38" t="n">
        <x:v>1</x:v>
      </x:c>
      <x:c r="Z71" s="38" t="n">
        <x:v>1</x:v>
      </x:c>
      <x:c r="AA71" s="38" t="n">
        <x:v>1</x:v>
      </x:c>
      <x:c r="AB71" s="38" t="n">
        <x:v>1</x:v>
      </x:c>
      <x:c r="AC71" s="38" t="n">
        <x:v>1</x:v>
      </x:c>
      <x:c r="AD71" s="38" t="n">
        <x:v>1</x:v>
      </x:c>
      <x:c r="AE71" s="38" t="n">
        <x:v>0.5</x:v>
      </x:c>
      <x:c r="AF71" s="38" t="n">
        <x:v>0.5</x:v>
      </x:c>
      <x:c r="AG71" s="38" t="n">
        <x:v>0</x:v>
      </x:c>
      <x:c r="AH71" s="38" t="n">
        <x:v>0</x:v>
      </x:c>
      <x:c r="AI71" s="38" t="n">
        <x:v>0.5</x:v>
      </x:c>
      <x:c r="AJ71" s="38" t="n">
        <x:v>1</x:v>
      </x:c>
      <x:c r="AK71" s="38" t="n">
        <x:v>0</x:v>
      </x:c>
      <x:c r="AL71" s="38" t="n">
        <x:v>1</x:v>
      </x:c>
      <x:c r="AM71" s="38" t="n">
        <x:v>0.5</x:v>
      </x:c>
      <x:c r="AN71" s="38" t="n">
        <x:v>1</x:v>
      </x:c>
      <x:c r="AO71" s="38" t="n">
        <x:v>0</x:v>
      </x:c>
      <x:c r="AP71" s="38" t="n">
        <x:v>0</x:v>
      </x:c>
      <x:c r="AQ71" s="28" t="str">
        <x:v>共享时间读数相差很大，支持路径/来源差异；不能在未知实验身份下唯一认定物理迟滞。</x:v>
      </x:c>
      <x:c r="AR71" s="28" t="str">
        <x:v>https://raw.githubusercontent.com/ZYDTR/truthinsightbench-dwf-scoring/main/runs/Energy_04_biohybrid_operating_tradeoffs/workspace/output/Result.md</x:v>
      </x:c>
      <x:c r="AS71" s="28" t="str">
        <x:v>待核验；暂不计入</x:v>
      </x:c>
    </x:row>
    <x:row r="72" ht="65" customHeight="1">
      <x:c r="A72" s="14" t="n">
        <x:v>67</x:v>
      </x:c>
      <x:c r="B72" s="14" t="str">
        <x:v>Energy_04_biohybrid_operating_tradeoffs</x:v>
      </x:c>
      <x:c r="C72" s="14" t="str">
        <x:v>F3</x:v>
      </x:c>
      <x:c r="D72" s="28" t="str">
        <x:v>条件耦合主要由尾段与合并驱动</x:v>
      </x:c>
      <x:c r="E72" s="14" t="str">
        <x:v>G1</x:v>
      </x:c>
      <x:c r="F72" s="14" t="n">
        <x:v>0</x:v>
      </x:c>
      <x:c r="G72" s="36" t="n">
        <x:f>SUMPRODUCT(N72:AP72,$N$4:$AP$4)</x:f>
        <x:v>66.5</x:v>
      </x:c>
      <x:c r="H72" s="36" t="n">
        <x:f>SUMPRODUCT(N72:U72,$N$4:$U$4)</x:f>
        <x:v>32.5</x:v>
      </x:c>
      <x:c r="I72" s="36" t="n">
        <x:f>SUMPRODUCT(V72:Z72,$V$4:$Z$4)</x:f>
        <x:v>12</x:v>
      </x:c>
      <x:c r="J72" s="36" t="n">
        <x:f>SUMPRODUCT(AA72:AE72,$AA$4:$AE$4)</x:f>
        <x:v>13.5</x:v>
      </x:c>
      <x:c r="K72" s="36" t="n">
        <x:f>SUMPRODUCT(AF72:AI72,$AF$4:$AI$4)</x:f>
        <x:v>2</x:v>
      </x:c>
      <x:c r="L72" s="36" t="n">
        <x:f>SUMPRODUCT(AJ72:AK72,$AJ$4:$AK$4)</x:f>
        <x:v>4</x:v>
      </x:c>
      <x:c r="M72" s="36" t="n">
        <x:f>SUMPRODUCT(AL72:AP72,$AL$4:$AP$4)</x:f>
        <x:v>2.5</x:v>
      </x:c>
      <x:c r="N72" s="38" t="n">
        <x:v>0.5</x:v>
      </x:c>
      <x:c r="O72" s="38" t="n">
        <x:v>1</x:v>
      </x:c>
      <x:c r="P72" s="38" t="n">
        <x:v>0.5</x:v>
      </x:c>
      <x:c r="Q72" s="38" t="n">
        <x:v>1</x:v>
      </x:c>
      <x:c r="R72" s="38" t="n">
        <x:v>0.5</x:v>
      </x:c>
      <x:c r="S72" s="38" t="n">
        <x:v>0.5</x:v>
      </x:c>
      <x:c r="T72" s="38" t="n">
        <x:v>1</x:v>
      </x:c>
      <x:c r="U72" s="38" t="n">
        <x:v>1</x:v>
      </x:c>
      <x:c r="V72" s="38" t="n">
        <x:v>1</x:v>
      </x:c>
      <x:c r="W72" s="38" t="n">
        <x:v>0</x:v>
      </x:c>
      <x:c r="X72" s="38" t="n">
        <x:v>1</x:v>
      </x:c>
      <x:c r="Y72" s="38" t="n">
        <x:v>1</x:v>
      </x:c>
      <x:c r="Z72" s="38" t="n">
        <x:v>1</x:v>
      </x:c>
      <x:c r="AA72" s="38" t="n">
        <x:v>1</x:v>
      </x:c>
      <x:c r="AB72" s="38" t="n">
        <x:v>1</x:v>
      </x:c>
      <x:c r="AC72" s="38" t="n">
        <x:v>1</x:v>
      </x:c>
      <x:c r="AD72" s="38" t="n">
        <x:v>1</x:v>
      </x:c>
      <x:c r="AE72" s="38" t="n">
        <x:v>0.5</x:v>
      </x:c>
      <x:c r="AF72" s="38" t="n">
        <x:v>0.5</x:v>
      </x:c>
      <x:c r="AG72" s="38" t="n">
        <x:v>0</x:v>
      </x:c>
      <x:c r="AH72" s="38" t="n">
        <x:v>0</x:v>
      </x:c>
      <x:c r="AI72" s="38" t="n">
        <x:v>0.5</x:v>
      </x:c>
      <x:c r="AJ72" s="38" t="n">
        <x:v>1</x:v>
      </x:c>
      <x:c r="AK72" s="38" t="n">
        <x:v>0</x:v>
      </x:c>
      <x:c r="AL72" s="38" t="n">
        <x:v>1</x:v>
      </x:c>
      <x:c r="AM72" s="38" t="n">
        <x:v>0.5</x:v>
      </x:c>
      <x:c r="AN72" s="38" t="n">
        <x:v>1</x:v>
      </x:c>
      <x:c r="AO72" s="38" t="n">
        <x:v>0</x:v>
      </x:c>
      <x:c r="AP72" s="38" t="n">
        <x:v>0</x:v>
      </x:c>
      <x:c r="AQ72" s="28" t="str">
        <x:v>基线近零相关、尾段强相关而差分后减弱；分段/切点敏感性支持条件边界。</x:v>
      </x:c>
      <x:c r="AR72" s="28" t="str">
        <x:v>https://raw.githubusercontent.com/ZYDTR/truthinsightbench-dwf-scoring/main/runs/Energy_04_biohybrid_operating_tradeoffs/workspace/output/Result.md</x:v>
      </x:c>
      <x:c r="AS72" s="28" t="str">
        <x:v>待核验；暂不计入</x:v>
      </x:c>
    </x:row>
    <x:row r="73" ht="65" customHeight="1">
      <x:c r="A73" s="14" t="n">
        <x:v>68</x:v>
      </x:c>
      <x:c r="B73" s="14" t="str">
        <x:v>Energy_04_biohybrid_operating_tradeoffs</x:v>
      </x:c>
      <x:c r="C73" s="14" t="str">
        <x:v>F4</x:v>
      </x:c>
      <x:c r="D73" s="28" t="str">
        <x:v>拟合列是支持表示而非新增测量</x:v>
      </x:c>
      <x:c r="E73" s="14" t="str">
        <x:v>G4</x:v>
      </x:c>
      <x:c r="F73" s="14" t="n">
        <x:v>0</x:v>
      </x:c>
      <x:c r="G73" s="36" t="n">
        <x:f>SUMPRODUCT(N73:AP73,$N$4:$AP$4)</x:f>
        <x:v>57</x:v>
      </x:c>
      <x:c r="H73" s="36" t="n">
        <x:f>SUMPRODUCT(N73:U73,$N$4:$U$4)</x:f>
        <x:v>26.5</x:v>
      </x:c>
      <x:c r="I73" s="36" t="n">
        <x:f>SUMPRODUCT(V73:Z73,$V$4:$Z$4)</x:f>
        <x:v>10.5</x:v>
      </x:c>
      <x:c r="J73" s="36" t="n">
        <x:f>SUMPRODUCT(AA73:AE73,$AA$4:$AE$4)</x:f>
        <x:v>13.5</x:v>
      </x:c>
      <x:c r="K73" s="36" t="n">
        <x:f>SUMPRODUCT(AF73:AI73,$AF$4:$AI$4)</x:f>
        <x:v>0</x:v>
      </x:c>
      <x:c r="L73" s="36" t="n">
        <x:f>SUMPRODUCT(AJ73:AK73,$AJ$4:$AK$4)</x:f>
        <x:v>4</x:v>
      </x:c>
      <x:c r="M73" s="36" t="n">
        <x:f>SUMPRODUCT(AL73:AP73,$AL$4:$AP$4)</x:f>
        <x:v>2.5</x:v>
      </x:c>
      <x:c r="N73" s="38" t="n">
        <x:v>0.5</x:v>
      </x:c>
      <x:c r="O73" s="38" t="n">
        <x:v>1</x:v>
      </x:c>
      <x:c r="P73" s="38" t="n">
        <x:v>0.5</x:v>
      </x:c>
      <x:c r="Q73" s="38" t="n">
        <x:v>1</x:v>
      </x:c>
      <x:c r="R73" s="38" t="n">
        <x:v>0.5</x:v>
      </x:c>
      <x:c r="S73" s="38" t="n">
        <x:v>0.5</x:v>
      </x:c>
      <x:c r="T73" s="38" t="n">
        <x:v>0.5</x:v>
      </x:c>
      <x:c r="U73" s="38" t="n">
        <x:v>0.5</x:v>
      </x:c>
      <x:c r="V73" s="38" t="n">
        <x:v>0.5</x:v>
      </x:c>
      <x:c r="W73" s="38" t="n">
        <x:v>0</x:v>
      </x:c>
      <x:c r="X73" s="38" t="n">
        <x:v>1</x:v>
      </x:c>
      <x:c r="Y73" s="38" t="n">
        <x:v>1</x:v>
      </x:c>
      <x:c r="Z73" s="38" t="n">
        <x:v>1</x:v>
      </x:c>
      <x:c r="AA73" s="38" t="n">
        <x:v>1</x:v>
      </x:c>
      <x:c r="AB73" s="38" t="n">
        <x:v>1</x:v>
      </x:c>
      <x:c r="AC73" s="38" t="n">
        <x:v>1</x:v>
      </x:c>
      <x:c r="AD73" s="38" t="n">
        <x:v>1</x:v>
      </x:c>
      <x:c r="AE73" s="38" t="n">
        <x:v>0.5</x:v>
      </x:c>
      <x:c r="AF73" s="38" t="n">
        <x:v>0</x:v>
      </x:c>
      <x:c r="AG73" s="38" t="n">
        <x:v>0</x:v>
      </x:c>
      <x:c r="AH73" s="38" t="n">
        <x:v>0</x:v>
      </x:c>
      <x:c r="AI73" s="38" t="n">
        <x:v>0</x:v>
      </x:c>
      <x:c r="AJ73" s="38" t="n">
        <x:v>1</x:v>
      </x:c>
      <x:c r="AK73" s="38" t="n">
        <x:v>0</x:v>
      </x:c>
      <x:c r="AL73" s="38" t="n">
        <x:v>1</x:v>
      </x:c>
      <x:c r="AM73" s="38" t="n">
        <x:v>0.5</x:v>
      </x:c>
      <x:c r="AN73" s="38" t="n">
        <x:v>1</x:v>
      </x:c>
      <x:c r="AO73" s="38" t="n">
        <x:v>0</x:v>
      </x:c>
      <x:c r="AP73" s="38" t="n">
        <x:v>0</x:v>
      </x:c>
      <x:c r="AQ73" s="28" t="str">
        <x:v>拟合与原始高度相关并更平滑；第三列0.945不等于严格单调，且平滑器来源未被唯一识别。</x:v>
      </x:c>
      <x:c r="AR73" s="28" t="str">
        <x:v>https://raw.githubusercontent.com/ZYDTR/truthinsightbench-dwf-scoring/main/runs/Energy_04_biohybrid_operating_tradeoffs/workspace/output/Result.md</x:v>
      </x:c>
      <x:c r="AS73" s="28" t="str">
        <x:v>待核验；暂不计入</x:v>
      </x:c>
    </x:row>
    <x:row r="74" ht="65" customHeight="1">
      <x:c r="A74" s="14" t="n">
        <x:v>69</x:v>
      </x:c>
      <x:c r="B74" s="14" t="str">
        <x:v>Energy_04_biohybrid_operating_tradeoffs</x:v>
      </x:c>
      <x:c r="C74" s="14" t="str">
        <x:v>F5</x:v>
      </x:c>
      <x:c r="D74" s="28" t="str">
        <x:v>剂量最优未定而扰动响应排序清楚</x:v>
      </x:c>
      <x:c r="E74" s="14" t="str">
        <x:v>G2</x:v>
      </x:c>
      <x:c r="F74" s="14" t="n">
        <x:v>0</x:v>
      </x:c>
      <x:c r="G74" s="36" t="n">
        <x:f>SUMPRODUCT(N74:AP74,$N$4:$AP$4)</x:f>
        <x:v>63.5</x:v>
      </x:c>
      <x:c r="H74" s="36" t="n">
        <x:f>SUMPRODUCT(N74:U74,$N$4:$U$4)</x:f>
        <x:v>31</x:v>
      </x:c>
      <x:c r="I74" s="36" t="n">
        <x:f>SUMPRODUCT(V74:Z74,$V$4:$Z$4)</x:f>
        <x:v>10.5</x:v>
      </x:c>
      <x:c r="J74" s="36" t="n">
        <x:f>SUMPRODUCT(AA74:AE74,$AA$4:$AE$4)</x:f>
        <x:v>13.5</x:v>
      </x:c>
      <x:c r="K74" s="36" t="n">
        <x:f>SUMPRODUCT(AF74:AI74,$AF$4:$AI$4)</x:f>
        <x:v>2</x:v>
      </x:c>
      <x:c r="L74" s="36" t="n">
        <x:f>SUMPRODUCT(AJ74:AK74,$AJ$4:$AK$4)</x:f>
        <x:v>4</x:v>
      </x:c>
      <x:c r="M74" s="36" t="n">
        <x:f>SUMPRODUCT(AL74:AP74,$AL$4:$AP$4)</x:f>
        <x:v>2.5</x:v>
      </x:c>
      <x:c r="N74" s="38" t="n">
        <x:v>0.5</x:v>
      </x:c>
      <x:c r="O74" s="38" t="n">
        <x:v>1</x:v>
      </x:c>
      <x:c r="P74" s="38" t="n">
        <x:v>0.5</x:v>
      </x:c>
      <x:c r="Q74" s="38" t="n">
        <x:v>1</x:v>
      </x:c>
      <x:c r="R74" s="38" t="n">
        <x:v>0.5</x:v>
      </x:c>
      <x:c r="S74" s="38" t="n">
        <x:v>1</x:v>
      </x:c>
      <x:c r="T74" s="38" t="n">
        <x:v>0.5</x:v>
      </x:c>
      <x:c r="U74" s="38" t="n">
        <x:v>1</x:v>
      </x:c>
      <x:c r="V74" s="38" t="n">
        <x:v>0.5</x:v>
      </x:c>
      <x:c r="W74" s="38" t="n">
        <x:v>0</x:v>
      </x:c>
      <x:c r="X74" s="38" t="n">
        <x:v>1</x:v>
      </x:c>
      <x:c r="Y74" s="38" t="n">
        <x:v>1</x:v>
      </x:c>
      <x:c r="Z74" s="38" t="n">
        <x:v>1</x:v>
      </x:c>
      <x:c r="AA74" s="38" t="n">
        <x:v>1</x:v>
      </x:c>
      <x:c r="AB74" s="38" t="n">
        <x:v>1</x:v>
      </x:c>
      <x:c r="AC74" s="38" t="n">
        <x:v>1</x:v>
      </x:c>
      <x:c r="AD74" s="38" t="n">
        <x:v>1</x:v>
      </x:c>
      <x:c r="AE74" s="38" t="n">
        <x:v>0.5</x:v>
      </x:c>
      <x:c r="AF74" s="38" t="n">
        <x:v>0.5</x:v>
      </x:c>
      <x:c r="AG74" s="38" t="n">
        <x:v>0</x:v>
      </x:c>
      <x:c r="AH74" s="38" t="n">
        <x:v>0</x:v>
      </x:c>
      <x:c r="AI74" s="38" t="n">
        <x:v>0.5</x:v>
      </x:c>
      <x:c r="AJ74" s="38" t="n">
        <x:v>1</x:v>
      </x:c>
      <x:c r="AK74" s="38" t="n">
        <x:v>0</x:v>
      </x:c>
      <x:c r="AL74" s="38" t="n">
        <x:v>1</x:v>
      </x:c>
      <x:c r="AM74" s="38" t="n">
        <x:v>0.5</x:v>
      </x:c>
      <x:c r="AN74" s="38" t="n">
        <x:v>1</x:v>
      </x:c>
      <x:c r="AO74" s="38" t="n">
        <x:v>0</x:v>
      </x:c>
      <x:c r="AP74" s="38" t="n">
        <x:v>0</x:v>
      </x:c>
      <x:c r="AQ74" s="28" t="str">
        <x:v>三剂量无误差不能定最优；控制稳定且b&gt;a衰减明显。SD非SE及时间相关性限制合并显著性。</x:v>
      </x:c>
      <x:c r="AR74" s="28" t="str">
        <x:v>https://raw.githubusercontent.com/ZYDTR/truthinsightbench-dwf-scoring/main/runs/Energy_04_biohybrid_operating_tradeoffs/workspace/output/Result.md</x:v>
      </x:c>
      <x:c r="AS74" s="28" t="str">
        <x:v>待核验；暂不计入</x:v>
      </x:c>
    </x:row>
    <x:row r="75" ht="65" customHeight="1">
      <x:c r="A75" s="14" t="n">
        <x:v>70</x:v>
      </x:c>
      <x:c r="B75" s="14" t="str">
        <x:v>Information_03_signal_surface_invariants</x:v>
      </x:c>
      <x:c r="C75" s="14" t="str">
        <x:v>F1</x:v>
      </x:c>
      <x:c r="D75" s="28" t="str">
        <x:v>对数响应近似单增益轴</x:v>
      </x:c>
      <x:c r="E75" s="14" t="str">
        <x:v>G1</x:v>
      </x:c>
      <x:c r="F75" s="14" t="n">
        <x:v>0</x:v>
      </x:c>
      <x:c r="G75" s="36" t="n">
        <x:f>SUMPRODUCT(N75:AP75,$N$4:$AP$4)</x:f>
        <x:v>68.5</x:v>
      </x:c>
      <x:c r="H75" s="36" t="n">
        <x:f>SUMPRODUCT(N75:U75,$N$4:$U$4)</x:f>
        <x:v>32.5</x:v>
      </x:c>
      <x:c r="I75" s="36" t="n">
        <x:f>SUMPRODUCT(V75:Z75,$V$4:$Z$4)</x:f>
        <x:v>12</x:v>
      </x:c>
      <x:c r="J75" s="36" t="n">
        <x:f>SUMPRODUCT(AA75:AE75,$AA$4:$AE$4)</x:f>
        <x:v>13.5</x:v>
      </x:c>
      <x:c r="K75" s="36" t="n">
        <x:f>SUMPRODUCT(AF75:AI75,$AF$4:$AI$4)</x:f>
        <x:v>4</x:v>
      </x:c>
      <x:c r="L75" s="36" t="n">
        <x:f>SUMPRODUCT(AJ75:AK75,$AJ$4:$AK$4)</x:f>
        <x:v>4</x:v>
      </x:c>
      <x:c r="M75" s="36" t="n">
        <x:f>SUMPRODUCT(AL75:AP75,$AL$4:$AP$4)</x:f>
        <x:v>2.5</x:v>
      </x:c>
      <x:c r="N75" s="38" t="n">
        <x:v>0.5</x:v>
      </x:c>
      <x:c r="O75" s="38" t="n">
        <x:v>1</x:v>
      </x:c>
      <x:c r="P75" s="38" t="n">
        <x:v>0.5</x:v>
      </x:c>
      <x:c r="Q75" s="38" t="n">
        <x:v>1</x:v>
      </x:c>
      <x:c r="R75" s="38" t="n">
        <x:v>0.5</x:v>
      </x:c>
      <x:c r="S75" s="38" t="n">
        <x:v>0.5</x:v>
      </x:c>
      <x:c r="T75" s="38" t="n">
        <x:v>1</x:v>
      </x:c>
      <x:c r="U75" s="38" t="n">
        <x:v>1</x:v>
      </x:c>
      <x:c r="V75" s="38" t="n">
        <x:v>1</x:v>
      </x:c>
      <x:c r="W75" s="38" t="n">
        <x:v>0</x:v>
      </x:c>
      <x:c r="X75" s="38" t="n">
        <x:v>1</x:v>
      </x:c>
      <x:c r="Y75" s="38" t="n">
        <x:v>1</x:v>
      </x:c>
      <x:c r="Z75" s="38" t="n">
        <x:v>1</x:v>
      </x:c>
      <x:c r="AA75" s="38" t="n">
        <x:v>1</x:v>
      </x:c>
      <x:c r="AB75" s="38" t="n">
        <x:v>1</x:v>
      </x:c>
      <x:c r="AC75" s="38" t="n">
        <x:v>1</x:v>
      </x:c>
      <x:c r="AD75" s="38" t="n">
        <x:v>1</x:v>
      </x:c>
      <x:c r="AE75" s="38" t="n">
        <x:v>0.5</x:v>
      </x:c>
      <x:c r="AF75" s="38" t="n">
        <x:v>1</x:v>
      </x:c>
      <x:c r="AG75" s="38" t="n">
        <x:v>0</x:v>
      </x:c>
      <x:c r="AH75" s="38" t="n">
        <x:v>0</x:v>
      </x:c>
      <x:c r="AI75" s="38" t="n">
        <x:v>1</x:v>
      </x:c>
      <x:c r="AJ75" s="38" t="n">
        <x:v>1</x:v>
      </x:c>
      <x:c r="AK75" s="38" t="n">
        <x:v>0</x:v>
      </x:c>
      <x:c r="AL75" s="38" t="n">
        <x:v>1</x:v>
      </x:c>
      <x:c r="AM75" s="38" t="n">
        <x:v>0.5</x:v>
      </x:c>
      <x:c r="AN75" s="38" t="n">
        <x:v>1</x:v>
      </x:c>
      <x:c r="AO75" s="38" t="n">
        <x:v>0</x:v>
      </x:c>
      <x:c r="AP75" s="38" t="n">
        <x:v>0</x:v>
      </x:c>
      <x:c r="AQ75" s="28" t="str">
        <x:v>秩一解释率约0.955，异方差零模型和完整留出检验有区分力；其尺度依赖由F2明确。</x:v>
      </x:c>
      <x:c r="AR75" s="28" t="str">
        <x:v>https://raw.githubusercontent.com/ZYDTR/truthinsightbench-dwf-scoring/main/runs/Information_03_signal_surface_invariants/workspace/output/Result.md</x:v>
      </x:c>
      <x:c r="AS75" s="28" t="str">
        <x:v>待核验；暂不计入</x:v>
      </x:c>
    </x:row>
    <x:row r="76" ht="65" customHeight="1">
      <x:c r="A76" s="14" t="n">
        <x:v>71</x:v>
      </x:c>
      <x:c r="B76" s="14" t="str">
        <x:v>Information_03_signal_surface_invariants</x:v>
      </x:c>
      <x:c r="C76" s="14" t="str">
        <x:v>F2</x:v>
      </x:c>
      <x:c r="D76" s="28" t="str">
        <x:v>归一化改变低维结构强弱</x:v>
      </x:c>
      <x:c r="E76" s="14" t="str">
        <x:v>G2</x:v>
      </x:c>
      <x:c r="F76" s="14" t="n">
        <x:v>0</x:v>
      </x:c>
      <x:c r="G76" s="36" t="n">
        <x:f>SUMPRODUCT(N76:AP76,$N$4:$AP$4)</x:f>
        <x:v>66.5</x:v>
      </x:c>
      <x:c r="H76" s="36" t="n">
        <x:f>SUMPRODUCT(N76:U76,$N$4:$U$4)</x:f>
        <x:v>32.5</x:v>
      </x:c>
      <x:c r="I76" s="36" t="n">
        <x:f>SUMPRODUCT(V76:Z76,$V$4:$Z$4)</x:f>
        <x:v>12</x:v>
      </x:c>
      <x:c r="J76" s="36" t="n">
        <x:f>SUMPRODUCT(AA76:AE76,$AA$4:$AE$4)</x:f>
        <x:v>13.5</x:v>
      </x:c>
      <x:c r="K76" s="36" t="n">
        <x:f>SUMPRODUCT(AF76:AI76,$AF$4:$AI$4)</x:f>
        <x:v>2</x:v>
      </x:c>
      <x:c r="L76" s="36" t="n">
        <x:f>SUMPRODUCT(AJ76:AK76,$AJ$4:$AK$4)</x:f>
        <x:v>4</x:v>
      </x:c>
      <x:c r="M76" s="36" t="n">
        <x:f>SUMPRODUCT(AL76:AP76,$AL$4:$AP$4)</x:f>
        <x:v>2.5</x:v>
      </x:c>
      <x:c r="N76" s="38" t="n">
        <x:v>0.5</x:v>
      </x:c>
      <x:c r="O76" s="38" t="n">
        <x:v>1</x:v>
      </x:c>
      <x:c r="P76" s="38" t="n">
        <x:v>0.5</x:v>
      </x:c>
      <x:c r="Q76" s="38" t="n">
        <x:v>1</x:v>
      </x:c>
      <x:c r="R76" s="38" t="n">
        <x:v>0.5</x:v>
      </x:c>
      <x:c r="S76" s="38" t="n">
        <x:v>0.5</x:v>
      </x:c>
      <x:c r="T76" s="38" t="n">
        <x:v>1</x:v>
      </x:c>
      <x:c r="U76" s="38" t="n">
        <x:v>1</x:v>
      </x:c>
      <x:c r="V76" s="38" t="n">
        <x:v>1</x:v>
      </x:c>
      <x:c r="W76" s="38" t="n">
        <x:v>0</x:v>
      </x:c>
      <x:c r="X76" s="38" t="n">
        <x:v>1</x:v>
      </x:c>
      <x:c r="Y76" s="38" t="n">
        <x:v>1</x:v>
      </x:c>
      <x:c r="Z76" s="38" t="n">
        <x:v>1</x:v>
      </x:c>
      <x:c r="AA76" s="38" t="n">
        <x:v>1</x:v>
      </x:c>
      <x:c r="AB76" s="38" t="n">
        <x:v>1</x:v>
      </x:c>
      <x:c r="AC76" s="38" t="n">
        <x:v>1</x:v>
      </x:c>
      <x:c r="AD76" s="38" t="n">
        <x:v>1</x:v>
      </x:c>
      <x:c r="AE76" s="38" t="n">
        <x:v>0.5</x:v>
      </x:c>
      <x:c r="AF76" s="38" t="n">
        <x:v>0.5</x:v>
      </x:c>
      <x:c r="AG76" s="38" t="n">
        <x:v>0</x:v>
      </x:c>
      <x:c r="AH76" s="38" t="n">
        <x:v>0</x:v>
      </x:c>
      <x:c r="AI76" s="38" t="n">
        <x:v>0.5</x:v>
      </x:c>
      <x:c r="AJ76" s="38" t="n">
        <x:v>1</x:v>
      </x:c>
      <x:c r="AK76" s="38" t="n">
        <x:v>0</x:v>
      </x:c>
      <x:c r="AL76" s="38" t="n">
        <x:v>1</x:v>
      </x:c>
      <x:c r="AM76" s="38" t="n">
        <x:v>0.5</x:v>
      </x:c>
      <x:c r="AN76" s="38" t="n">
        <x:v>1</x:v>
      </x:c>
      <x:c r="AO76" s="38" t="n">
        <x:v>0</x:v>
      </x:c>
      <x:c r="AP76" s="38" t="n">
        <x:v>0</x:v>
      </x:c>
      <x:c r="AQ76" s="28" t="str">
        <x:v>原尺度、对数和按通道标准化结果不同；是F1的适用边界，不应误写成任意归一化都稳健。</x:v>
      </x:c>
      <x:c r="AR76" s="28" t="str">
        <x:v>https://raw.githubusercontent.com/ZYDTR/truthinsightbench-dwf-scoring/main/runs/Information_03_signal_surface_invariants/workspace/output/Result.md</x:v>
      </x:c>
      <x:c r="AS76" s="28" t="str">
        <x:v>待核验；暂不计入</x:v>
      </x:c>
    </x:row>
    <x:row r="77" ht="65" customHeight="1">
      <x:c r="A77" s="14" t="n">
        <x:v>72</x:v>
      </x:c>
      <x:c r="B77" s="14" t="str">
        <x:v>Information_03_signal_surface_invariants</x:v>
      </x:c>
      <x:c r="C77" s="14" t="str">
        <x:v>F3</x:v>
      </x:c>
      <x:c r="D77" s="28" t="str">
        <x:v>两面板同网格水平并不直接复现</x:v>
      </x:c>
      <x:c r="E77" s="14" t="str">
        <x:v>G4</x:v>
      </x:c>
      <x:c r="F77" s="14" t="n">
        <x:v>0</x:v>
      </x:c>
      <x:c r="G77" s="36" t="n">
        <x:f>SUMPRODUCT(N77:AP77,$N$4:$AP$4)</x:f>
        <x:v>65</x:v>
      </x:c>
      <x:c r="H77" s="36" t="n">
        <x:f>SUMPRODUCT(N77:U77,$N$4:$U$4)</x:f>
        <x:v>30.5</x:v>
      </x:c>
      <x:c r="I77" s="36" t="n">
        <x:f>SUMPRODUCT(V77:Z77,$V$4:$Z$4)</x:f>
        <x:v>10.5</x:v>
      </x:c>
      <x:c r="J77" s="36" t="n">
        <x:f>SUMPRODUCT(AA77:AE77,$AA$4:$AE$4)</x:f>
        <x:v>13.5</x:v>
      </x:c>
      <x:c r="K77" s="36" t="n">
        <x:f>SUMPRODUCT(AF77:AI77,$AF$4:$AI$4)</x:f>
        <x:v>4</x:v>
      </x:c>
      <x:c r="L77" s="36" t="n">
        <x:f>SUMPRODUCT(AJ77:AK77,$AJ$4:$AK$4)</x:f>
        <x:v>4</x:v>
      </x:c>
      <x:c r="M77" s="36" t="n">
        <x:f>SUMPRODUCT(AL77:AP77,$AL$4:$AP$4)</x:f>
        <x:v>2.5</x:v>
      </x:c>
      <x:c r="N77" s="38" t="n">
        <x:v>0.5</x:v>
      </x:c>
      <x:c r="O77" s="38" t="n">
        <x:v>0.5</x:v>
      </x:c>
      <x:c r="P77" s="38" t="n">
        <x:v>0.5</x:v>
      </x:c>
      <x:c r="Q77" s="38" t="n">
        <x:v>1</x:v>
      </x:c>
      <x:c r="R77" s="38" t="n">
        <x:v>0.5</x:v>
      </x:c>
      <x:c r="S77" s="38" t="n">
        <x:v>0.5</x:v>
      </x:c>
      <x:c r="T77" s="38" t="n">
        <x:v>1</x:v>
      </x:c>
      <x:c r="U77" s="38" t="n">
        <x:v>1</x:v>
      </x:c>
      <x:c r="V77" s="38" t="n">
        <x:v>0.5</x:v>
      </x:c>
      <x:c r="W77" s="38" t="n">
        <x:v>0</x:v>
      </x:c>
      <x:c r="X77" s="38" t="n">
        <x:v>1</x:v>
      </x:c>
      <x:c r="Y77" s="38" t="n">
        <x:v>1</x:v>
      </x:c>
      <x:c r="Z77" s="38" t="n">
        <x:v>1</x:v>
      </x:c>
      <x:c r="AA77" s="38" t="n">
        <x:v>1</x:v>
      </x:c>
      <x:c r="AB77" s="38" t="n">
        <x:v>1</x:v>
      </x:c>
      <x:c r="AC77" s="38" t="n">
        <x:v>1</x:v>
      </x:c>
      <x:c r="AD77" s="38" t="n">
        <x:v>1</x:v>
      </x:c>
      <x:c r="AE77" s="38" t="n">
        <x:v>0.5</x:v>
      </x:c>
      <x:c r="AF77" s="38" t="n">
        <x:v>1</x:v>
      </x:c>
      <x:c r="AG77" s="38" t="n">
        <x:v>0</x:v>
      </x:c>
      <x:c r="AH77" s="38" t="n">
        <x:v>0</x:v>
      </x:c>
      <x:c r="AI77" s="38" t="n">
        <x:v>1</x:v>
      </x:c>
      <x:c r="AJ77" s="38" t="n">
        <x:v>1</x:v>
      </x:c>
      <x:c r="AK77" s="38" t="n">
        <x:v>0</x:v>
      </x:c>
      <x:c r="AL77" s="38" t="n">
        <x:v>1</x:v>
      </x:c>
      <x:c r="AM77" s="38" t="n">
        <x:v>0.5</x:v>
      </x:c>
      <x:c r="AN77" s="38" t="n">
        <x:v>1</x:v>
      </x:c>
      <x:c r="AO77" s="38" t="n">
        <x:v>0</x:v>
      </x:c>
      <x:c r="AP77" s="38" t="n">
        <x:v>0</x:v>
      </x:c>
      <x:c r="AQ77" s="28" t="str">
        <x:v>共同网格上r≈0.0168且转移R²&lt;0；对齐、重标度和弱共享成分均报告。逐格推断仍需系统级独立性限定。</x:v>
      </x:c>
      <x:c r="AR77" s="28" t="str">
        <x:v>https://raw.githubusercontent.com/ZYDTR/truthinsightbench-dwf-scoring/main/runs/Information_03_signal_surface_invariants/workspace/output/Result.md</x:v>
      </x:c>
      <x:c r="AS77" s="28" t="str">
        <x:v>待核验；暂不计入</x:v>
      </x:c>
    </x:row>
    <x:row r="78" ht="65" customHeight="1">
      <x:c r="A78" s="14" t="n">
        <x:v>73</x:v>
      </x:c>
      <x:c r="B78" s="14" t="str">
        <x:v>Information_03_signal_surface_invariants</x:v>
      </x:c>
      <x:c r="C78" s="14" t="str">
        <x:v>F4</x:v>
      </x:c>
      <x:c r="D78" s="28" t="str">
        <x:v>跨面板噪声量存在有限共享</x:v>
      </x:c>
      <x:c r="E78" s="14" t="str">
        <x:v>G5</x:v>
      </x:c>
      <x:c r="F78" s="14" t="n">
        <x:v>0</x:v>
      </x:c>
      <x:c r="G78" s="36" t="n">
        <x:f>SUMPRODUCT(N78:AP78,$N$4:$AP$4)</x:f>
        <x:v>59</x:v>
      </x:c>
      <x:c r="H78" s="36" t="n">
        <x:f>SUMPRODUCT(N78:U78,$N$4:$U$4)</x:f>
        <x:v>26.5</x:v>
      </x:c>
      <x:c r="I78" s="36" t="n">
        <x:f>SUMPRODUCT(V78:Z78,$V$4:$Z$4)</x:f>
        <x:v>10.5</x:v>
      </x:c>
      <x:c r="J78" s="36" t="n">
        <x:f>SUMPRODUCT(AA78:AE78,$AA$4:$AE$4)</x:f>
        <x:v>13.5</x:v>
      </x:c>
      <x:c r="K78" s="36" t="n">
        <x:f>SUMPRODUCT(AF78:AI78,$AF$4:$AI$4)</x:f>
        <x:v>2</x:v>
      </x:c>
      <x:c r="L78" s="36" t="n">
        <x:f>SUMPRODUCT(AJ78:AK78,$AJ$4:$AK$4)</x:f>
        <x:v>4</x:v>
      </x:c>
      <x:c r="M78" s="36" t="n">
        <x:f>SUMPRODUCT(AL78:AP78,$AL$4:$AP$4)</x:f>
        <x:v>2.5</x:v>
      </x:c>
      <x:c r="N78" s="38" t="n">
        <x:v>0.5</x:v>
      </x:c>
      <x:c r="O78" s="38" t="n">
        <x:v>0.5</x:v>
      </x:c>
      <x:c r="P78" s="38" t="n">
        <x:v>0.5</x:v>
      </x:c>
      <x:c r="Q78" s="38" t="n">
        <x:v>1</x:v>
      </x:c>
      <x:c r="R78" s="38" t="n">
        <x:v>0.5</x:v>
      </x:c>
      <x:c r="S78" s="38" t="n">
        <x:v>0.5</x:v>
      </x:c>
      <x:c r="T78" s="38" t="n">
        <x:v>0.5</x:v>
      </x:c>
      <x:c r="U78" s="38" t="n">
        <x:v>1</x:v>
      </x:c>
      <x:c r="V78" s="38" t="n">
        <x:v>0.5</x:v>
      </x:c>
      <x:c r="W78" s="38" t="n">
        <x:v>0</x:v>
      </x:c>
      <x:c r="X78" s="38" t="n">
        <x:v>1</x:v>
      </x:c>
      <x:c r="Y78" s="38" t="n">
        <x:v>1</x:v>
      </x:c>
      <x:c r="Z78" s="38" t="n">
        <x:v>1</x:v>
      </x:c>
      <x:c r="AA78" s="38" t="n">
        <x:v>1</x:v>
      </x:c>
      <x:c r="AB78" s="38" t="n">
        <x:v>1</x:v>
      </x:c>
      <x:c r="AC78" s="38" t="n">
        <x:v>1</x:v>
      </x:c>
      <x:c r="AD78" s="38" t="n">
        <x:v>1</x:v>
      </x:c>
      <x:c r="AE78" s="38" t="n">
        <x:v>0.5</x:v>
      </x:c>
      <x:c r="AF78" s="38" t="n">
        <x:v>0.5</x:v>
      </x:c>
      <x:c r="AG78" s="38" t="n">
        <x:v>0</x:v>
      </x:c>
      <x:c r="AH78" s="38" t="n">
        <x:v>0</x:v>
      </x:c>
      <x:c r="AI78" s="38" t="n">
        <x:v>0.5</x:v>
      </x:c>
      <x:c r="AJ78" s="38" t="n">
        <x:v>1</x:v>
      </x:c>
      <x:c r="AK78" s="38" t="n">
        <x:v>0</x:v>
      </x:c>
      <x:c r="AL78" s="38" t="n">
        <x:v>1</x:v>
      </x:c>
      <x:c r="AM78" s="38" t="n">
        <x:v>0.5</x:v>
      </x:c>
      <x:c r="AN78" s="38" t="n">
        <x:v>1</x:v>
      </x:c>
      <x:c r="AO78" s="38" t="n">
        <x:v>0</x:v>
      </x:c>
      <x:c r="AP78" s="38" t="n">
        <x:v>0</x:v>
      </x:c>
      <x:c r="AQ78" s="28" t="str">
        <x:v>控制边际后相关仍在，但CV(log响应)不是原响应的尺度不变CV；不能仅据此断言乘性噪声机制。</x:v>
      </x:c>
      <x:c r="AR78" s="28" t="str">
        <x:v>https://raw.githubusercontent.com/ZYDTR/truthinsightbench-dwf-scoring/main/runs/Information_03_signal_surface_invariants/workspace/output/Result.md</x:v>
      </x:c>
      <x:c r="AS78" s="28" t="str">
        <x:v>待核验；暂不计入</x:v>
      </x:c>
    </x:row>
    <x:row r="79" ht="65" customHeight="1">
      <x:c r="A79" s="14" t="n">
        <x:v>74</x:v>
      </x:c>
      <x:c r="B79" s="14" t="str">
        <x:v>Information_03_signal_surface_invariants</x:v>
      </x:c>
      <x:c r="C79" s="14" t="str">
        <x:v>F5</x:v>
      </x:c>
      <x:c r="D79" s="28" t="str">
        <x:v>零信号箱有面板依赖的边界</x:v>
      </x:c>
      <x:c r="E79" s="14" t="str">
        <x:v>G3</x:v>
      </x:c>
      <x:c r="F79" s="14" t="n">
        <x:v>0</x:v>
      </x:c>
      <x:c r="G79" s="36" t="n">
        <x:f>SUMPRODUCT(N79:AP79,$N$4:$AP$4)</x:f>
        <x:v>66.5</x:v>
      </x:c>
      <x:c r="H79" s="36" t="n">
        <x:f>SUMPRODUCT(N79:U79,$N$4:$U$4)</x:f>
        <x:v>32.5</x:v>
      </x:c>
      <x:c r="I79" s="36" t="n">
        <x:f>SUMPRODUCT(V79:Z79,$V$4:$Z$4)</x:f>
        <x:v>12</x:v>
      </x:c>
      <x:c r="J79" s="36" t="n">
        <x:f>SUMPRODUCT(AA79:AE79,$AA$4:$AE$4)</x:f>
        <x:v>13.5</x:v>
      </x:c>
      <x:c r="K79" s="36" t="n">
        <x:f>SUMPRODUCT(AF79:AI79,$AF$4:$AI$4)</x:f>
        <x:v>2</x:v>
      </x:c>
      <x:c r="L79" s="36" t="n">
        <x:f>SUMPRODUCT(AJ79:AK79,$AJ$4:$AK$4)</x:f>
        <x:v>4</x:v>
      </x:c>
      <x:c r="M79" s="36" t="n">
        <x:f>SUMPRODUCT(AL79:AP79,$AL$4:$AP$4)</x:f>
        <x:v>2.5</x:v>
      </x:c>
      <x:c r="N79" s="38" t="n">
        <x:v>0.5</x:v>
      </x:c>
      <x:c r="O79" s="38" t="n">
        <x:v>1</x:v>
      </x:c>
      <x:c r="P79" s="38" t="n">
        <x:v>0.5</x:v>
      </x:c>
      <x:c r="Q79" s="38" t="n">
        <x:v>1</x:v>
      </x:c>
      <x:c r="R79" s="38" t="n">
        <x:v>0.5</x:v>
      </x:c>
      <x:c r="S79" s="38" t="n">
        <x:v>0.5</x:v>
      </x:c>
      <x:c r="T79" s="38" t="n">
        <x:v>1</x:v>
      </x:c>
      <x:c r="U79" s="38" t="n">
        <x:v>1</x:v>
      </x:c>
      <x:c r="V79" s="38" t="n">
        <x:v>1</x:v>
      </x:c>
      <x:c r="W79" s="38" t="n">
        <x:v>0</x:v>
      </x:c>
      <x:c r="X79" s="38" t="n">
        <x:v>1</x:v>
      </x:c>
      <x:c r="Y79" s="38" t="n">
        <x:v>1</x:v>
      </x:c>
      <x:c r="Z79" s="38" t="n">
        <x:v>1</x:v>
      </x:c>
      <x:c r="AA79" s="38" t="n">
        <x:v>1</x:v>
      </x:c>
      <x:c r="AB79" s="38" t="n">
        <x:v>1</x:v>
      </x:c>
      <x:c r="AC79" s="38" t="n">
        <x:v>1</x:v>
      </x:c>
      <x:c r="AD79" s="38" t="n">
        <x:v>1</x:v>
      </x:c>
      <x:c r="AE79" s="38" t="n">
        <x:v>0.5</x:v>
      </x:c>
      <x:c r="AF79" s="38" t="n">
        <x:v>0.5</x:v>
      </x:c>
      <x:c r="AG79" s="38" t="n">
        <x:v>0</x:v>
      </x:c>
      <x:c r="AH79" s="38" t="n">
        <x:v>0</x:v>
      </x:c>
      <x:c r="AI79" s="38" t="n">
        <x:v>0.5</x:v>
      </x:c>
      <x:c r="AJ79" s="38" t="n">
        <x:v>1</x:v>
      </x:c>
      <x:c r="AK79" s="38" t="n">
        <x:v>0</x:v>
      </x:c>
      <x:c r="AL79" s="38" t="n">
        <x:v>1</x:v>
      </x:c>
      <x:c r="AM79" s="38" t="n">
        <x:v>0.5</x:v>
      </x:c>
      <x:c r="AN79" s="38" t="n">
        <x:v>1</x:v>
      </x:c>
      <x:c r="AO79" s="38" t="n">
        <x:v>0</x:v>
      </x:c>
      <x:c r="AP79" s="38" t="n">
        <x:v>0</x:v>
      </x:c>
      <x:c r="AQ79" s="28" t="str">
        <x:v>基线箱的偏离和换号是局部而非通用关系；方法与完整单位扰动支持边界定位。</x:v>
      </x:c>
      <x:c r="AR79" s="28" t="str">
        <x:v>https://raw.githubusercontent.com/ZYDTR/truthinsightbench-dwf-scoring/main/runs/Information_03_signal_surface_invariants/workspace/output/Result.md</x:v>
      </x:c>
      <x:c r="AS79" s="28" t="str">
        <x:v>待核验；暂不计入</x:v>
      </x:c>
    </x:row>
    <x:row r="80" ht="65" customHeight="1">
      <x:c r="A80" s="14" t="n">
        <x:v>75</x:v>
      </x:c>
      <x:c r="B80" s="14" t="str">
        <x:v>Life_02_contextual_immune_response</x:v>
      </x:c>
      <x:c r="C80" s="14" t="str">
        <x:v>F1</x:v>
      </x:c>
      <x:c r="D80" s="28" t="str">
        <x:v>扰动提高各细胞的平均响应</x:v>
      </x:c>
      <x:c r="E80" s="14" t="str">
        <x:v>G4</x:v>
      </x:c>
      <x:c r="F80" s="14" t="n">
        <x:v>0</x:v>
      </x:c>
      <x:c r="G80" s="36" t="n">
        <x:f>SUMPRODUCT(N80:AP80,$N$4:$AP$4)</x:f>
        <x:v>65</x:v>
      </x:c>
      <x:c r="H80" s="36" t="n">
        <x:f>SUMPRODUCT(N80:U80,$N$4:$U$4)</x:f>
        <x:v>30.5</x:v>
      </x:c>
      <x:c r="I80" s="36" t="n">
        <x:f>SUMPRODUCT(V80:Z80,$V$4:$Z$4)</x:f>
        <x:v>10.5</x:v>
      </x:c>
      <x:c r="J80" s="36" t="n">
        <x:f>SUMPRODUCT(AA80:AE80,$AA$4:$AE$4)</x:f>
        <x:v>13.5</x:v>
      </x:c>
      <x:c r="K80" s="36" t="n">
        <x:f>SUMPRODUCT(AF80:AI80,$AF$4:$AI$4)</x:f>
        <x:v>4</x:v>
      </x:c>
      <x:c r="L80" s="36" t="n">
        <x:f>SUMPRODUCT(AJ80:AK80,$AJ$4:$AK$4)</x:f>
        <x:v>4</x:v>
      </x:c>
      <x:c r="M80" s="36" t="n">
        <x:f>SUMPRODUCT(AL80:AP80,$AL$4:$AP$4)</x:f>
        <x:v>2.5</x:v>
      </x:c>
      <x:c r="N80" s="38" t="n">
        <x:v>0.5</x:v>
      </x:c>
      <x:c r="O80" s="38" t="n">
        <x:v>0.5</x:v>
      </x:c>
      <x:c r="P80" s="38" t="n">
        <x:v>0.5</x:v>
      </x:c>
      <x:c r="Q80" s="38" t="n">
        <x:v>1</x:v>
      </x:c>
      <x:c r="R80" s="38" t="n">
        <x:v>0.5</x:v>
      </x:c>
      <x:c r="S80" s="38" t="n">
        <x:v>0.5</x:v>
      </x:c>
      <x:c r="T80" s="38" t="n">
        <x:v>1</x:v>
      </x:c>
      <x:c r="U80" s="38" t="n">
        <x:v>1</x:v>
      </x:c>
      <x:c r="V80" s="38" t="n">
        <x:v>0.5</x:v>
      </x:c>
      <x:c r="W80" s="38" t="n">
        <x:v>0</x:v>
      </x:c>
      <x:c r="X80" s="38" t="n">
        <x:v>1</x:v>
      </x:c>
      <x:c r="Y80" s="38" t="n">
        <x:v>1</x:v>
      </x:c>
      <x:c r="Z80" s="38" t="n">
        <x:v>1</x:v>
      </x:c>
      <x:c r="AA80" s="38" t="n">
        <x:v>1</x:v>
      </x:c>
      <x:c r="AB80" s="38" t="n">
        <x:v>1</x:v>
      </x:c>
      <x:c r="AC80" s="38" t="n">
        <x:v>1</x:v>
      </x:c>
      <x:c r="AD80" s="38" t="n">
        <x:v>1</x:v>
      </x:c>
      <x:c r="AE80" s="38" t="n">
        <x:v>0.5</x:v>
      </x:c>
      <x:c r="AF80" s="38" t="n">
        <x:v>1</x:v>
      </x:c>
      <x:c r="AG80" s="38" t="n">
        <x:v>0</x:v>
      </x:c>
      <x:c r="AH80" s="38" t="n">
        <x:v>0</x:v>
      </x:c>
      <x:c r="AI80" s="38" t="n">
        <x:v>1</x:v>
      </x:c>
      <x:c r="AJ80" s="38" t="n">
        <x:v>1</x:v>
      </x:c>
      <x:c r="AK80" s="38" t="n">
        <x:v>0</x:v>
      </x:c>
      <x:c r="AL80" s="38" t="n">
        <x:v>1</x:v>
      </x:c>
      <x:c r="AM80" s="38" t="n">
        <x:v>0.5</x:v>
      </x:c>
      <x:c r="AN80" s="38" t="n">
        <x:v>1</x:v>
      </x:c>
      <x:c r="AO80" s="38" t="n">
        <x:v>0</x:v>
      </x:c>
      <x:c r="AP80" s="38" t="n">
        <x:v>0</x:v>
      </x:c>
      <x:c r="AQ80" s="28" t="str">
        <x:v>18/18单元增加且不同汇总定义同向；共享assay下的18单元检验不能充当18次独立实验。</x:v>
      </x:c>
      <x:c r="AR80" s="28" t="str">
        <x:v>https://raw.githubusercontent.com/ZYDTR/truthinsightbench-dwf-scoring/main/runs/Life_02_contextual_immune_response/workspace/output/Result.md</x:v>
      </x:c>
      <x:c r="AS80" s="28" t="str">
        <x:v>待核验；暂不计入</x:v>
      </x:c>
    </x:row>
    <x:row r="81" ht="65" customHeight="1">
      <x:c r="A81" s="14" t="n">
        <x:v>76</x:v>
      </x:c>
      <x:c r="B81" s="14" t="str">
        <x:v>Life_02_contextual_immune_response</x:v>
      </x:c>
      <x:c r="C81" s="14" t="str">
        <x:v>F2</x:v>
      </x:c>
      <x:c r="D81" s="28" t="str">
        <x:v>组织区室排序不可靠地跨assay转移</x:v>
      </x:c>
      <x:c r="E81" s="14" t="str">
        <x:v>G1</x:v>
      </x:c>
      <x:c r="F81" s="14" t="n">
        <x:v>0</x:v>
      </x:c>
      <x:c r="G81" s="36" t="n">
        <x:f>SUMPRODUCT(N81:AP81,$N$4:$AP$4)</x:f>
        <x:v>68.5</x:v>
      </x:c>
      <x:c r="H81" s="36" t="n">
        <x:f>SUMPRODUCT(N81:U81,$N$4:$U$4)</x:f>
        <x:v>32.5</x:v>
      </x:c>
      <x:c r="I81" s="36" t="n">
        <x:f>SUMPRODUCT(V81:Z81,$V$4:$Z$4)</x:f>
        <x:v>12</x:v>
      </x:c>
      <x:c r="J81" s="36" t="n">
        <x:f>SUMPRODUCT(AA81:AE81,$AA$4:$AE$4)</x:f>
        <x:v>13.5</x:v>
      </x:c>
      <x:c r="K81" s="36" t="n">
        <x:f>SUMPRODUCT(AF81:AI81,$AF$4:$AI$4)</x:f>
        <x:v>4</x:v>
      </x:c>
      <x:c r="L81" s="36" t="n">
        <x:f>SUMPRODUCT(AJ81:AK81,$AJ$4:$AK$4)</x:f>
        <x:v>4</x:v>
      </x:c>
      <x:c r="M81" s="36" t="n">
        <x:f>SUMPRODUCT(AL81:AP81,$AL$4:$AP$4)</x:f>
        <x:v>2.5</x:v>
      </x:c>
      <x:c r="N81" s="38" t="n">
        <x:v>0.5</x:v>
      </x:c>
      <x:c r="O81" s="38" t="n">
        <x:v>1</x:v>
      </x:c>
      <x:c r="P81" s="38" t="n">
        <x:v>0.5</x:v>
      </x:c>
      <x:c r="Q81" s="38" t="n">
        <x:v>1</x:v>
      </x:c>
      <x:c r="R81" s="38" t="n">
        <x:v>0.5</x:v>
      </x:c>
      <x:c r="S81" s="38" t="n">
        <x:v>0.5</x:v>
      </x:c>
      <x:c r="T81" s="38" t="n">
        <x:v>1</x:v>
      </x:c>
      <x:c r="U81" s="38" t="n">
        <x:v>1</x:v>
      </x:c>
      <x:c r="V81" s="38" t="n">
        <x:v>1</x:v>
      </x:c>
      <x:c r="W81" s="38" t="n">
        <x:v>0</x:v>
      </x:c>
      <x:c r="X81" s="38" t="n">
        <x:v>1</x:v>
      </x:c>
      <x:c r="Y81" s="38" t="n">
        <x:v>1</x:v>
      </x:c>
      <x:c r="Z81" s="38" t="n">
        <x:v>1</x:v>
      </x:c>
      <x:c r="AA81" s="38" t="n">
        <x:v>1</x:v>
      </x:c>
      <x:c r="AB81" s="38" t="n">
        <x:v>1</x:v>
      </x:c>
      <x:c r="AC81" s="38" t="n">
        <x:v>1</x:v>
      </x:c>
      <x:c r="AD81" s="38" t="n">
        <x:v>1</x:v>
      </x:c>
      <x:c r="AE81" s="38" t="n">
        <x:v>0.5</x:v>
      </x:c>
      <x:c r="AF81" s="38" t="n">
        <x:v>1</x:v>
      </x:c>
      <x:c r="AG81" s="38" t="n">
        <x:v>0</x:v>
      </x:c>
      <x:c r="AH81" s="38" t="n">
        <x:v>0</x:v>
      </x:c>
      <x:c r="AI81" s="38" t="n">
        <x:v>1</x:v>
      </x:c>
      <x:c r="AJ81" s="38" t="n">
        <x:v>1</x:v>
      </x:c>
      <x:c r="AK81" s="38" t="n">
        <x:v>0</x:v>
      </x:c>
      <x:c r="AL81" s="38" t="n">
        <x:v>1</x:v>
      </x:c>
      <x:c r="AM81" s="38" t="n">
        <x:v>0.5</x:v>
      </x:c>
      <x:c r="AN81" s="38" t="n">
        <x:v>1</x:v>
      </x:c>
      <x:c r="AO81" s="38" t="n">
        <x:v>0</x:v>
      </x:c>
      <x:c r="AP81" s="38" t="n">
        <x:v>0</x:v>
      </x:c>
      <x:c r="AQ81" s="28" t="str">
        <x:v>留一assay外预测与常数基线比较直接检验转移，失败被纳入最终结论。</x:v>
      </x:c>
      <x:c r="AR81" s="28" t="str">
        <x:v>https://raw.githubusercontent.com/ZYDTR/truthinsightbench-dwf-scoring/main/runs/Life_02_contextual_immune_response/workspace/output/Result.md</x:v>
      </x:c>
      <x:c r="AS81" s="28" t="str">
        <x:v>待核验；暂不计入</x:v>
      </x:c>
    </x:row>
    <x:row r="82" ht="65" customHeight="1">
      <x:c r="A82" s="14" t="n">
        <x:v>77</x:v>
      </x:c>
      <x:c r="B82" s="14" t="str">
        <x:v>Life_02_contextual_immune_response</x:v>
      </x:c>
      <x:c r="C82" s="14" t="str">
        <x:v>F3</x:v>
      </x:c>
      <x:c r="D82" s="28" t="str">
        <x:v>计数与比例方向同向但排序不一致</x:v>
      </x:c>
      <x:c r="E82" s="14" t="str">
        <x:v>G5</x:v>
      </x:c>
      <x:c r="F82" s="14" t="n">
        <x:v>0</x:v>
      </x:c>
      <x:c r="G82" s="36" t="n">
        <x:f>SUMPRODUCT(N82:AP82,$N$4:$AP$4)</x:f>
        <x:v>65</x:v>
      </x:c>
      <x:c r="H82" s="36" t="n">
        <x:f>SUMPRODUCT(N82:U82,$N$4:$U$4)</x:f>
        <x:v>32.5</x:v>
      </x:c>
      <x:c r="I82" s="36" t="n">
        <x:f>SUMPRODUCT(V82:Z82,$V$4:$Z$4)</x:f>
        <x:v>12</x:v>
      </x:c>
      <x:c r="J82" s="36" t="n">
        <x:f>SUMPRODUCT(AA82:AE82,$AA$4:$AE$4)</x:f>
        <x:v>12</x:v>
      </x:c>
      <x:c r="K82" s="36" t="n">
        <x:f>SUMPRODUCT(AF82:AI82,$AF$4:$AI$4)</x:f>
        <x:v>2</x:v>
      </x:c>
      <x:c r="L82" s="36" t="n">
        <x:f>SUMPRODUCT(AJ82:AK82,$AJ$4:$AK$4)</x:f>
        <x:v>4</x:v>
      </x:c>
      <x:c r="M82" s="36" t="n">
        <x:f>SUMPRODUCT(AL82:AP82,$AL$4:$AP$4)</x:f>
        <x:v>2.5</x:v>
      </x:c>
      <x:c r="N82" s="38" t="n">
        <x:v>0.5</x:v>
      </x:c>
      <x:c r="O82" s="38" t="n">
        <x:v>1</x:v>
      </x:c>
      <x:c r="P82" s="38" t="n">
        <x:v>0.5</x:v>
      </x:c>
      <x:c r="Q82" s="38" t="n">
        <x:v>1</x:v>
      </x:c>
      <x:c r="R82" s="38" t="n">
        <x:v>0.5</x:v>
      </x:c>
      <x:c r="S82" s="38" t="n">
        <x:v>0.5</x:v>
      </x:c>
      <x:c r="T82" s="38" t="n">
        <x:v>1</x:v>
      </x:c>
      <x:c r="U82" s="38" t="n">
        <x:v>1</x:v>
      </x:c>
      <x:c r="V82" s="38" t="n">
        <x:v>1</x:v>
      </x:c>
      <x:c r="W82" s="38" t="n">
        <x:v>0</x:v>
      </x:c>
      <x:c r="X82" s="38" t="n">
        <x:v>1</x:v>
      </x:c>
      <x:c r="Y82" s="38" t="n">
        <x:v>1</x:v>
      </x:c>
      <x:c r="Z82" s="38" t="n">
        <x:v>1</x:v>
      </x:c>
      <x:c r="AA82" s="38" t="n">
        <x:v>1</x:v>
      </x:c>
      <x:c r="AB82" s="38" t="n">
        <x:v>0.5</x:v>
      </x:c>
      <x:c r="AC82" s="38" t="n">
        <x:v>1</x:v>
      </x:c>
      <x:c r="AD82" s="38" t="n">
        <x:v>1</x:v>
      </x:c>
      <x:c r="AE82" s="38" t="n">
        <x:v>0.5</x:v>
      </x:c>
      <x:c r="AF82" s="38" t="n">
        <x:v>0.5</x:v>
      </x:c>
      <x:c r="AG82" s="38" t="n">
        <x:v>0</x:v>
      </x:c>
      <x:c r="AH82" s="38" t="n">
        <x:v>0</x:v>
      </x:c>
      <x:c r="AI82" s="38" t="n">
        <x:v>0.5</x:v>
      </x:c>
      <x:c r="AJ82" s="38" t="n">
        <x:v>1</x:v>
      </x:c>
      <x:c r="AK82" s="38" t="n">
        <x:v>0</x:v>
      </x:c>
      <x:c r="AL82" s="38" t="n">
        <x:v>1</x:v>
      </x:c>
      <x:c r="AM82" s="38" t="n">
        <x:v>0.5</x:v>
      </x:c>
      <x:c r="AN82" s="38" t="n">
        <x:v>1</x:v>
      </x:c>
      <x:c r="AO82" s="38" t="n">
        <x:v>0</x:v>
      </x:c>
      <x:c r="AP82" s="38" t="n">
        <x:v>0</x:v>
      </x:c>
      <x:c r="AQ82" s="28" t="str">
        <x:v>18单元两端点均增加，某assay排序反向；端点差异边缘显著被如实限定。</x:v>
      </x:c>
      <x:c r="AR82" s="28" t="str">
        <x:v>https://raw.githubusercontent.com/ZYDTR/truthinsightbench-dwf-scoring/main/runs/Life_02_contextual_immune_response/workspace/output/Result.md</x:v>
      </x:c>
      <x:c r="AS82" s="28" t="str">
        <x:v>待核验；暂不计入</x:v>
      </x:c>
    </x:row>
    <x:row r="83" ht="65" customHeight="1">
      <x:c r="A83" s="14" t="n">
        <x:v>78</x:v>
      </x:c>
      <x:c r="B83" s="14" t="str">
        <x:v>Life_02_contextual_immune_response</x:v>
      </x:c>
      <x:c r="C83" s="14" t="str">
        <x:v>F4</x:v>
      </x:c>
      <x:c r="D83" s="28" t="str">
        <x:v>时间轨迹差异未检出且功效不足</x:v>
      </x:c>
      <x:c r="E83" s="14" t="str">
        <x:v>G2</x:v>
      </x:c>
      <x:c r="F83" s="14" t="n">
        <x:v>0</x:v>
      </x:c>
      <x:c r="G83" s="36" t="n">
        <x:f>SUMPRODUCT(N83:AP83,$N$4:$AP$4)</x:f>
        <x:v>68.5</x:v>
      </x:c>
      <x:c r="H83" s="36" t="n">
        <x:f>SUMPRODUCT(N83:U83,$N$4:$U$4)</x:f>
        <x:v>32.5</x:v>
      </x:c>
      <x:c r="I83" s="36" t="n">
        <x:f>SUMPRODUCT(V83:Z83,$V$4:$Z$4)</x:f>
        <x:v>12</x:v>
      </x:c>
      <x:c r="J83" s="36" t="n">
        <x:f>SUMPRODUCT(AA83:AE83,$AA$4:$AE$4)</x:f>
        <x:v>13.5</x:v>
      </x:c>
      <x:c r="K83" s="36" t="n">
        <x:f>SUMPRODUCT(AF83:AI83,$AF$4:$AI$4)</x:f>
        <x:v>4</x:v>
      </x:c>
      <x:c r="L83" s="36" t="n">
        <x:f>SUMPRODUCT(AJ83:AK83,$AJ$4:$AK$4)</x:f>
        <x:v>4</x:v>
      </x:c>
      <x:c r="M83" s="36" t="n">
        <x:f>SUMPRODUCT(AL83:AP83,$AL$4:$AP$4)</x:f>
        <x:v>2.5</x:v>
      </x:c>
      <x:c r="N83" s="38" t="n">
        <x:v>0.5</x:v>
      </x:c>
      <x:c r="O83" s="38" t="n">
        <x:v>1</x:v>
      </x:c>
      <x:c r="P83" s="38" t="n">
        <x:v>0.5</x:v>
      </x:c>
      <x:c r="Q83" s="38" t="n">
        <x:v>1</x:v>
      </x:c>
      <x:c r="R83" s="38" t="n">
        <x:v>0.5</x:v>
      </x:c>
      <x:c r="S83" s="38" t="n">
        <x:v>0.5</x:v>
      </x:c>
      <x:c r="T83" s="38" t="n">
        <x:v>1</x:v>
      </x:c>
      <x:c r="U83" s="38" t="n">
        <x:v>1</x:v>
      </x:c>
      <x:c r="V83" s="38" t="n">
        <x:v>1</x:v>
      </x:c>
      <x:c r="W83" s="38" t="n">
        <x:v>0</x:v>
      </x:c>
      <x:c r="X83" s="38" t="n">
        <x:v>1</x:v>
      </x:c>
      <x:c r="Y83" s="38" t="n">
        <x:v>1</x:v>
      </x:c>
      <x:c r="Z83" s="38" t="n">
        <x:v>1</x:v>
      </x:c>
      <x:c r="AA83" s="38" t="n">
        <x:v>1</x:v>
      </x:c>
      <x:c r="AB83" s="38" t="n">
        <x:v>1</x:v>
      </x:c>
      <x:c r="AC83" s="38" t="n">
        <x:v>1</x:v>
      </x:c>
      <x:c r="AD83" s="38" t="n">
        <x:v>1</x:v>
      </x:c>
      <x:c r="AE83" s="38" t="n">
        <x:v>0.5</x:v>
      </x:c>
      <x:c r="AF83" s="38" t="n">
        <x:v>1</x:v>
      </x:c>
      <x:c r="AG83" s="38" t="n">
        <x:v>0</x:v>
      </x:c>
      <x:c r="AH83" s="38" t="n">
        <x:v>0</x:v>
      </x:c>
      <x:c r="AI83" s="38" t="n">
        <x:v>1</x:v>
      </x:c>
      <x:c r="AJ83" s="38" t="n">
        <x:v>1</x:v>
      </x:c>
      <x:c r="AK83" s="38" t="n">
        <x:v>0</x:v>
      </x:c>
      <x:c r="AL83" s="38" t="n">
        <x:v>1</x:v>
      </x:c>
      <x:c r="AM83" s="38" t="n">
        <x:v>0.5</x:v>
      </x:c>
      <x:c r="AN83" s="38" t="n">
        <x:v>1</x:v>
      </x:c>
      <x:c r="AO83" s="38" t="n">
        <x:v>0</x:v>
      </x:c>
      <x:c r="AP83" s="38" t="n">
        <x:v>0</x:v>
      </x:c>
      <x:c r="AQ83" s="28" t="str">
        <x:v>明确最小可检测效应远高于观测差，不把不显著当等效。</x:v>
      </x:c>
      <x:c r="AR83" s="28" t="str">
        <x:v>https://raw.githubusercontent.com/ZYDTR/truthinsightbench-dwf-scoring/main/runs/Life_02_contextual_immune_response/workspace/output/Result.md</x:v>
      </x:c>
      <x:c r="AS83" s="28" t="str">
        <x:v>待核验；暂不计入</x:v>
      </x:c>
    </x:row>
    <x:row r="84" ht="65" customHeight="1">
      <x:c r="A84" s="14" t="n">
        <x:v>79</x:v>
      </x:c>
      <x:c r="B84" s="14" t="str">
        <x:v>Life_02_contextual_immune_response</x:v>
      </x:c>
      <x:c r="C84" s="14" t="str">
        <x:v>F5</x:v>
      </x:c>
      <x:c r="D84" s="28" t="str">
        <x:v>干预排序较一致但样本规模小</x:v>
      </x:c>
      <x:c r="E84" s="14" t="str">
        <x:v>G3</x:v>
      </x:c>
      <x:c r="F84" s="14" t="n">
        <x:v>0</x:v>
      </x:c>
      <x:c r="G84" s="36" t="n">
        <x:f>SUMPRODUCT(N84:AP84,$N$4:$AP$4)</x:f>
        <x:v>68.5</x:v>
      </x:c>
      <x:c r="H84" s="36" t="n">
        <x:f>SUMPRODUCT(N84:U84,$N$4:$U$4)</x:f>
        <x:v>32.5</x:v>
      </x:c>
      <x:c r="I84" s="36" t="n">
        <x:f>SUMPRODUCT(V84:Z84,$V$4:$Z$4)</x:f>
        <x:v>12</x:v>
      </x:c>
      <x:c r="J84" s="36" t="n">
        <x:f>SUMPRODUCT(AA84:AE84,$AA$4:$AE$4)</x:f>
        <x:v>13.5</x:v>
      </x:c>
      <x:c r="K84" s="36" t="n">
        <x:f>SUMPRODUCT(AF84:AI84,$AF$4:$AI$4)</x:f>
        <x:v>4</x:v>
      </x:c>
      <x:c r="L84" s="36" t="n">
        <x:f>SUMPRODUCT(AJ84:AK84,$AJ$4:$AK$4)</x:f>
        <x:v>4</x:v>
      </x:c>
      <x:c r="M84" s="36" t="n">
        <x:f>SUMPRODUCT(AL84:AP84,$AL$4:$AP$4)</x:f>
        <x:v>2.5</x:v>
      </x:c>
      <x:c r="N84" s="38" t="n">
        <x:v>0.5</x:v>
      </x:c>
      <x:c r="O84" s="38" t="n">
        <x:v>1</x:v>
      </x:c>
      <x:c r="P84" s="38" t="n">
        <x:v>0.5</x:v>
      </x:c>
      <x:c r="Q84" s="38" t="n">
        <x:v>1</x:v>
      </x:c>
      <x:c r="R84" s="38" t="n">
        <x:v>0.5</x:v>
      </x:c>
      <x:c r="S84" s="38" t="n">
        <x:v>0.5</x:v>
      </x:c>
      <x:c r="T84" s="38" t="n">
        <x:v>1</x:v>
      </x:c>
      <x:c r="U84" s="38" t="n">
        <x:v>1</x:v>
      </x:c>
      <x:c r="V84" s="38" t="n">
        <x:v>1</x:v>
      </x:c>
      <x:c r="W84" s="38" t="n">
        <x:v>0</x:v>
      </x:c>
      <x:c r="X84" s="38" t="n">
        <x:v>1</x:v>
      </x:c>
      <x:c r="Y84" s="38" t="n">
        <x:v>1</x:v>
      </x:c>
      <x:c r="Z84" s="38" t="n">
        <x:v>1</x:v>
      </x:c>
      <x:c r="AA84" s="38" t="n">
        <x:v>1</x:v>
      </x:c>
      <x:c r="AB84" s="38" t="n">
        <x:v>1</x:v>
      </x:c>
      <x:c r="AC84" s="38" t="n">
        <x:v>1</x:v>
      </x:c>
      <x:c r="AD84" s="38" t="n">
        <x:v>1</x:v>
      </x:c>
      <x:c r="AE84" s="38" t="n">
        <x:v>0.5</x:v>
      </x:c>
      <x:c r="AF84" s="38" t="n">
        <x:v>1</x:v>
      </x:c>
      <x:c r="AG84" s="38" t="n">
        <x:v>0</x:v>
      </x:c>
      <x:c r="AH84" s="38" t="n">
        <x:v>0</x:v>
      </x:c>
      <x:c r="AI84" s="38" t="n">
        <x:v>1</x:v>
      </x:c>
      <x:c r="AJ84" s="38" t="n">
        <x:v>1</x:v>
      </x:c>
      <x:c r="AK84" s="38" t="n">
        <x:v>0</x:v>
      </x:c>
      <x:c r="AL84" s="38" t="n">
        <x:v>1</x:v>
      </x:c>
      <x:c r="AM84" s="38" t="n">
        <x:v>0.5</x:v>
      </x:c>
      <x:c r="AN84" s="38" t="n">
        <x:v>1</x:v>
      </x:c>
      <x:c r="AO84" s="38" t="n">
        <x:v>0</x:v>
      </x:c>
      <x:c r="AP84" s="38" t="n">
        <x:v>0</x:v>
      </x:c>
      <x:c r="AQ84" s="28" t="str">
        <x:v>精确与渐近检验及交换敏感性并列；只有三个assay，不能无限推广排名。</x:v>
      </x:c>
      <x:c r="AR84" s="28" t="str">
        <x:v>https://raw.githubusercontent.com/ZYDTR/truthinsightbench-dwf-scoring/main/runs/Life_02_contextual_immune_response/workspace/output/Result.md</x:v>
      </x:c>
      <x:c r="AS84" s="28" t="str">
        <x:v>待核验；暂不计入</x:v>
      </x:c>
    </x:row>
    <x:row r="85" ht="65" customHeight="1">
      <x:c r="A85" s="14" t="n">
        <x:v>80</x:v>
      </x:c>
      <x:c r="B85" s="14" t="str">
        <x:v>Life_04_environmental_transfer_boundary</x:v>
      </x:c>
      <x:c r="C85" s="14" t="str">
        <x:v>F1</x:v>
      </x:c>
      <x:c r="D85" s="28" t="str">
        <x:v>采样层级与角色编码限制独立性</x:v>
      </x:c>
      <x:c r="E85" s="14" t="str">
        <x:v>G3</x:v>
      </x:c>
      <x:c r="F85" s="14" t="n">
        <x:v>0</x:v>
      </x:c>
      <x:c r="G85" s="36" t="n">
        <x:f>SUMPRODUCT(N85:AP85,$N$4:$AP$4)</x:f>
        <x:v>65.5</x:v>
      </x:c>
      <x:c r="H85" s="36" t="n">
        <x:f>SUMPRODUCT(N85:U85,$N$4:$U$4)</x:f>
        <x:v>32.5</x:v>
      </x:c>
      <x:c r="I85" s="36" t="n">
        <x:f>SUMPRODUCT(V85:Z85,$V$4:$Z$4)</x:f>
        <x:v>10.5</x:v>
      </x:c>
      <x:c r="J85" s="36" t="n">
        <x:f>SUMPRODUCT(AA85:AE85,$AA$4:$AE$4)</x:f>
        <x:v>13.5</x:v>
      </x:c>
      <x:c r="K85" s="36" t="n">
        <x:f>SUMPRODUCT(AF85:AI85,$AF$4:$AI$4)</x:f>
        <x:v>2</x:v>
      </x:c>
      <x:c r="L85" s="36" t="n">
        <x:f>SUMPRODUCT(AJ85:AK85,$AJ$4:$AK$4)</x:f>
        <x:v>4</x:v>
      </x:c>
      <x:c r="M85" s="36" t="n">
        <x:f>SUMPRODUCT(AL85:AP85,$AL$4:$AP$4)</x:f>
        <x:v>3</x:v>
      </x:c>
      <x:c r="N85" s="38" t="n">
        <x:v>0.5</x:v>
      </x:c>
      <x:c r="O85" s="38" t="n">
        <x:v>1</x:v>
      </x:c>
      <x:c r="P85" s="38" t="n">
        <x:v>0.5</x:v>
      </x:c>
      <x:c r="Q85" s="38" t="n">
        <x:v>1</x:v>
      </x:c>
      <x:c r="R85" s="38" t="n">
        <x:v>0.5</x:v>
      </x:c>
      <x:c r="S85" s="38" t="n">
        <x:v>0.5</x:v>
      </x:c>
      <x:c r="T85" s="38" t="n">
        <x:v>1</x:v>
      </x:c>
      <x:c r="U85" s="38" t="n">
        <x:v>1</x:v>
      </x:c>
      <x:c r="V85" s="38" t="n">
        <x:v>0.5</x:v>
      </x:c>
      <x:c r="W85" s="38" t="n">
        <x:v>0</x:v>
      </x:c>
      <x:c r="X85" s="38" t="n">
        <x:v>1</x:v>
      </x:c>
      <x:c r="Y85" s="38" t="n">
        <x:v>1</x:v>
      </x:c>
      <x:c r="Z85" s="38" t="n">
        <x:v>1</x:v>
      </x:c>
      <x:c r="AA85" s="38" t="n">
        <x:v>1</x:v>
      </x:c>
      <x:c r="AB85" s="38" t="n">
        <x:v>1</x:v>
      </x:c>
      <x:c r="AC85" s="38" t="n">
        <x:v>1</x:v>
      </x:c>
      <x:c r="AD85" s="38" t="n">
        <x:v>1</x:v>
      </x:c>
      <x:c r="AE85" s="38" t="n">
        <x:v>0.5</x:v>
      </x:c>
      <x:c r="AF85" s="38" t="n">
        <x:v>0.5</x:v>
      </x:c>
      <x:c r="AG85" s="38" t="n">
        <x:v>0</x:v>
      </x:c>
      <x:c r="AH85" s="38" t="n">
        <x:v>0</x:v>
      </x:c>
      <x:c r="AI85" s="38" t="n">
        <x:v>0.5</x:v>
      </x:c>
      <x:c r="AJ85" s="38" t="n">
        <x:v>1</x:v>
      </x:c>
      <x:c r="AK85" s="38" t="n">
        <x:v>0</x:v>
      </x:c>
      <x:c r="AL85" s="38" t="n">
        <x:v>0.5</x:v>
      </x:c>
      <x:c r="AM85" s="38" t="n">
        <x:v>0.5</x:v>
      </x:c>
      <x:c r="AN85" s="38" t="n">
        <x:v>1</x:v>
      </x:c>
      <x:c r="AO85" s="38" t="n">
        <x:v>1</x:v>
      </x:c>
      <x:c r="AP85" s="38" t="n">
        <x:v>0</x:v>
      </x:c>
      <x:c r="AQ85" s="28" t="str">
        <x:v>30个单位含212个位点，ICC与编码重复支持层级边界；不将逐位点当同量独立受试对象。</x:v>
      </x:c>
      <x:c r="AR85" s="28" t="str">
        <x:v>https://raw.githubusercontent.com/ZYDTR/truthinsightbench-dwf-scoring/main/runs/Life_04_environmental_transfer_boundary/workspace/output/Result.md</x:v>
      </x:c>
      <x:c r="AS85" s="28" t="str">
        <x:v>待核验；暂不计入</x:v>
      </x:c>
    </x:row>
    <x:row r="86" ht="65" customHeight="1">
      <x:c r="A86" s="14" t="n">
        <x:v>81</x:v>
      </x:c>
      <x:c r="B86" s="14" t="str">
        <x:v>Life_04_environmental_transfer_boundary</x:v>
      </x:c>
      <x:c r="C86" s="14" t="str">
        <x:v>F2</x:v>
      </x:c>
      <x:c r="D86" s="28" t="str">
        <x:v>assay关联强于普遍单调梯度</x:v>
      </x:c>
      <x:c r="E86" s="14" t="str">
        <x:v>G1</x:v>
      </x:c>
      <x:c r="F86" s="14" t="n">
        <x:v>0</x:v>
      </x:c>
      <x:c r="G86" s="36" t="n">
        <x:f>SUMPRODUCT(N86:AP86,$N$4:$AP$4)</x:f>
        <x:v>66.5</x:v>
      </x:c>
      <x:c r="H86" s="36" t="n">
        <x:f>SUMPRODUCT(N86:U86,$N$4:$U$4)</x:f>
        <x:v>32.5</x:v>
      </x:c>
      <x:c r="I86" s="36" t="n">
        <x:f>SUMPRODUCT(V86:Z86,$V$4:$Z$4)</x:f>
        <x:v>12</x:v>
      </x:c>
      <x:c r="J86" s="36" t="n">
        <x:f>SUMPRODUCT(AA86:AE86,$AA$4:$AE$4)</x:f>
        <x:v>13.5</x:v>
      </x:c>
      <x:c r="K86" s="36" t="n">
        <x:f>SUMPRODUCT(AF86:AI86,$AF$4:$AI$4)</x:f>
        <x:v>2</x:v>
      </x:c>
      <x:c r="L86" s="36" t="n">
        <x:f>SUMPRODUCT(AJ86:AK86,$AJ$4:$AK$4)</x:f>
        <x:v>4</x:v>
      </x:c>
      <x:c r="M86" s="36" t="n">
        <x:f>SUMPRODUCT(AL86:AP86,$AL$4:$AP$4)</x:f>
        <x:v>2.5</x:v>
      </x:c>
      <x:c r="N86" s="38" t="n">
        <x:v>0.5</x:v>
      </x:c>
      <x:c r="O86" s="38" t="n">
        <x:v>1</x:v>
      </x:c>
      <x:c r="P86" s="38" t="n">
        <x:v>0.5</x:v>
      </x:c>
      <x:c r="Q86" s="38" t="n">
        <x:v>1</x:v>
      </x:c>
      <x:c r="R86" s="38" t="n">
        <x:v>0.5</x:v>
      </x:c>
      <x:c r="S86" s="38" t="n">
        <x:v>0.5</x:v>
      </x:c>
      <x:c r="T86" s="38" t="n">
        <x:v>1</x:v>
      </x:c>
      <x:c r="U86" s="38" t="n">
        <x:v>1</x:v>
      </x:c>
      <x:c r="V86" s="38" t="n">
        <x:v>1</x:v>
      </x:c>
      <x:c r="W86" s="38" t="n">
        <x:v>0</x:v>
      </x:c>
      <x:c r="X86" s="38" t="n">
        <x:v>1</x:v>
      </x:c>
      <x:c r="Y86" s="38" t="n">
        <x:v>1</x:v>
      </x:c>
      <x:c r="Z86" s="38" t="n">
        <x:v>1</x:v>
      </x:c>
      <x:c r="AA86" s="38" t="n">
        <x:v>1</x:v>
      </x:c>
      <x:c r="AB86" s="38" t="n">
        <x:v>1</x:v>
      </x:c>
      <x:c r="AC86" s="38" t="n">
        <x:v>1</x:v>
      </x:c>
      <x:c r="AD86" s="38" t="n">
        <x:v>1</x:v>
      </x:c>
      <x:c r="AE86" s="38" t="n">
        <x:v>0.5</x:v>
      </x:c>
      <x:c r="AF86" s="38" t="n">
        <x:v>0.5</x:v>
      </x:c>
      <x:c r="AG86" s="38" t="n">
        <x:v>0</x:v>
      </x:c>
      <x:c r="AH86" s="38" t="n">
        <x:v>0</x:v>
      </x:c>
      <x:c r="AI86" s="38" t="n">
        <x:v>0.5</x:v>
      </x:c>
      <x:c r="AJ86" s="38" t="n">
        <x:v>1</x:v>
      </x:c>
      <x:c r="AK86" s="38" t="n">
        <x:v>0</x:v>
      </x:c>
      <x:c r="AL86" s="38" t="n">
        <x:v>1</x:v>
      </x:c>
      <x:c r="AM86" s="38" t="n">
        <x:v>0.5</x:v>
      </x:c>
      <x:c r="AN86" s="38" t="n">
        <x:v>1</x:v>
      </x:c>
      <x:c r="AO86" s="38" t="n">
        <x:v>0</x:v>
      </x:c>
      <x:c r="AP86" s="38" t="n">
        <x:v>0</x:v>
      </x:c>
      <x:c r="AQ86" s="28" t="str">
        <x:v>阈值关联和单调/多重检验结论不同；以单位分组检验避免放大样本数。</x:v>
      </x:c>
      <x:c r="AR86" s="28" t="str">
        <x:v>https://raw.githubusercontent.com/ZYDTR/truthinsightbench-dwf-scoring/main/runs/Life_04_environmental_transfer_boundary/workspace/output/Result.md</x:v>
      </x:c>
      <x:c r="AS86" s="28" t="str">
        <x:v>待核验；暂不计入</x:v>
      </x:c>
    </x:row>
    <x:row r="87" ht="65" customHeight="1">
      <x:c r="A87" s="14" t="n">
        <x:v>82</x:v>
      </x:c>
      <x:c r="B87" s="14" t="str">
        <x:v>Life_04_environmental_transfer_boundary</x:v>
      </x:c>
      <x:c r="C87" s="14" t="str">
        <x:v>F3</x:v>
      </x:c>
      <x:c r="D87" s="28" t="str">
        <x:v>病程关联在单位级检验中消失</x:v>
      </x:c>
      <x:c r="E87" s="14" t="str">
        <x:v>G2</x:v>
      </x:c>
      <x:c r="F87" s="14" t="n">
        <x:v>0</x:v>
      </x:c>
      <x:c r="G87" s="36" t="n">
        <x:f>SUMPRODUCT(N87:AP87,$N$4:$AP$4)</x:f>
        <x:v>66.5</x:v>
      </x:c>
      <x:c r="H87" s="36" t="n">
        <x:f>SUMPRODUCT(N87:U87,$N$4:$U$4)</x:f>
        <x:v>32.5</x:v>
      </x:c>
      <x:c r="I87" s="36" t="n">
        <x:f>SUMPRODUCT(V87:Z87,$V$4:$Z$4)</x:f>
        <x:v>12</x:v>
      </x:c>
      <x:c r="J87" s="36" t="n">
        <x:f>SUMPRODUCT(AA87:AE87,$AA$4:$AE$4)</x:f>
        <x:v>13.5</x:v>
      </x:c>
      <x:c r="K87" s="36" t="n">
        <x:f>SUMPRODUCT(AF87:AI87,$AF$4:$AI$4)</x:f>
        <x:v>2</x:v>
      </x:c>
      <x:c r="L87" s="36" t="n">
        <x:f>SUMPRODUCT(AJ87:AK87,$AJ$4:$AK$4)</x:f>
        <x:v>4</x:v>
      </x:c>
      <x:c r="M87" s="36" t="n">
        <x:f>SUMPRODUCT(AL87:AP87,$AL$4:$AP$4)</x:f>
        <x:v>2.5</x:v>
      </x:c>
      <x:c r="N87" s="38" t="n">
        <x:v>0.5</x:v>
      </x:c>
      <x:c r="O87" s="38" t="n">
        <x:v>1</x:v>
      </x:c>
      <x:c r="P87" s="38" t="n">
        <x:v>0.5</x:v>
      </x:c>
      <x:c r="Q87" s="38" t="n">
        <x:v>1</x:v>
      </x:c>
      <x:c r="R87" s="38" t="n">
        <x:v>0.5</x:v>
      </x:c>
      <x:c r="S87" s="38" t="n">
        <x:v>0.5</x:v>
      </x:c>
      <x:c r="T87" s="38" t="n">
        <x:v>1</x:v>
      </x:c>
      <x:c r="U87" s="38" t="n">
        <x:v>1</x:v>
      </x:c>
      <x:c r="V87" s="38" t="n">
        <x:v>1</x:v>
      </x:c>
      <x:c r="W87" s="38" t="n">
        <x:v>0</x:v>
      </x:c>
      <x:c r="X87" s="38" t="n">
        <x:v>1</x:v>
      </x:c>
      <x:c r="Y87" s="38" t="n">
        <x:v>1</x:v>
      </x:c>
      <x:c r="Z87" s="38" t="n">
        <x:v>1</x:v>
      </x:c>
      <x:c r="AA87" s="38" t="n">
        <x:v>1</x:v>
      </x:c>
      <x:c r="AB87" s="38" t="n">
        <x:v>1</x:v>
      </x:c>
      <x:c r="AC87" s="38" t="n">
        <x:v>1</x:v>
      </x:c>
      <x:c r="AD87" s="38" t="n">
        <x:v>1</x:v>
      </x:c>
      <x:c r="AE87" s="38" t="n">
        <x:v>0.5</x:v>
      </x:c>
      <x:c r="AF87" s="38" t="n">
        <x:v>0.5</x:v>
      </x:c>
      <x:c r="AG87" s="38" t="n">
        <x:v>0</x:v>
      </x:c>
      <x:c r="AH87" s="38" t="n">
        <x:v>0</x:v>
      </x:c>
      <x:c r="AI87" s="38" t="n">
        <x:v>0.5</x:v>
      </x:c>
      <x:c r="AJ87" s="38" t="n">
        <x:v>1</x:v>
      </x:c>
      <x:c r="AK87" s="38" t="n">
        <x:v>0</x:v>
      </x:c>
      <x:c r="AL87" s="38" t="n">
        <x:v>1</x:v>
      </x:c>
      <x:c r="AM87" s="38" t="n">
        <x:v>0.5</x:v>
      </x:c>
      <x:c r="AN87" s="38" t="n">
        <x:v>1</x:v>
      </x:c>
      <x:c r="AO87" s="38" t="n">
        <x:v>0</x:v>
      </x:c>
      <x:c r="AP87" s="38" t="n">
        <x:v>0</x:v>
      </x:c>
      <x:c r="AQ87" s="28" t="str">
        <x:v>逐位点显著与单位置换p≈0.255形成直接对照；阈值搜索已纳入零模型。</x:v>
      </x:c>
      <x:c r="AR87" s="28" t="str">
        <x:v>https://raw.githubusercontent.com/ZYDTR/truthinsightbench-dwf-scoring/main/runs/Life_04_environmental_transfer_boundary/workspace/output/Result.md</x:v>
      </x:c>
      <x:c r="AS87" s="28" t="str">
        <x:v>待核验；暂不计入</x:v>
      </x:c>
    </x:row>
    <x:row r="88" ht="65" customHeight="1">
      <x:c r="A88" s="14" t="n">
        <x:v>83</x:v>
      </x:c>
      <x:c r="B88" s="14" t="str">
        <x:v>Life_04_environmental_transfer_boundary</x:v>
      </x:c>
      <x:c r="C88" s="14" t="str">
        <x:v>F4</x:v>
      </x:c>
      <x:c r="D88" s="28" t="str">
        <x:v>表面与症状读数不能充当独立复现</x:v>
      </x:c>
      <x:c r="E88" s="14" t="str">
        <x:v>G4</x:v>
      </x:c>
      <x:c r="F88" s="14" t="n">
        <x:v>0</x:v>
      </x:c>
      <x:c r="G88" s="36" t="n">
        <x:f>SUMPRODUCT(N88:AP88,$N$4:$AP$4)</x:f>
        <x:v>57.5</x:v>
      </x:c>
      <x:c r="H88" s="36" t="n">
        <x:f>SUMPRODUCT(N88:U88,$N$4:$U$4)</x:f>
        <x:v>28.5</x:v>
      </x:c>
      <x:c r="I88" s="36" t="n">
        <x:f>SUMPRODUCT(V88:Z88,$V$4:$Z$4)</x:f>
        <x:v>10.5</x:v>
      </x:c>
      <x:c r="J88" s="36" t="n">
        <x:f>SUMPRODUCT(AA88:AE88,$AA$4:$AE$4)</x:f>
        <x:v>12</x:v>
      </x:c>
      <x:c r="K88" s="36" t="n">
        <x:f>SUMPRODUCT(AF88:AI88,$AF$4:$AI$4)</x:f>
        <x:v>0</x:v>
      </x:c>
      <x:c r="L88" s="36" t="n">
        <x:f>SUMPRODUCT(AJ88:AK88,$AJ$4:$AK$4)</x:f>
        <x:v>4</x:v>
      </x:c>
      <x:c r="M88" s="36" t="n">
        <x:f>SUMPRODUCT(AL88:AP88,$AL$4:$AP$4)</x:f>
        <x:v>2.5</x:v>
      </x:c>
      <x:c r="N88" s="38" t="n">
        <x:v>0.5</x:v>
      </x:c>
      <x:c r="O88" s="38" t="n">
        <x:v>1</x:v>
      </x:c>
      <x:c r="P88" s="38" t="n">
        <x:v>0.5</x:v>
      </x:c>
      <x:c r="Q88" s="38" t="n">
        <x:v>1</x:v>
      </x:c>
      <x:c r="R88" s="38" t="n">
        <x:v>0.5</x:v>
      </x:c>
      <x:c r="S88" s="38" t="n">
        <x:v>0.5</x:v>
      </x:c>
      <x:c r="T88" s="38" t="n">
        <x:v>0.5</x:v>
      </x:c>
      <x:c r="U88" s="38" t="n">
        <x:v>1</x:v>
      </x:c>
      <x:c r="V88" s="38" t="n">
        <x:v>0.5</x:v>
      </x:c>
      <x:c r="W88" s="38" t="n">
        <x:v>0</x:v>
      </x:c>
      <x:c r="X88" s="38" t="n">
        <x:v>1</x:v>
      </x:c>
      <x:c r="Y88" s="38" t="n">
        <x:v>1</x:v>
      </x:c>
      <x:c r="Z88" s="38" t="n">
        <x:v>1</x:v>
      </x:c>
      <x:c r="AA88" s="38" t="n">
        <x:v>1</x:v>
      </x:c>
      <x:c r="AB88" s="38" t="n">
        <x:v>0.5</x:v>
      </x:c>
      <x:c r="AC88" s="38" t="n">
        <x:v>1</x:v>
      </x:c>
      <x:c r="AD88" s="38" t="n">
        <x:v>1</x:v>
      </x:c>
      <x:c r="AE88" s="38" t="n">
        <x:v>0.5</x:v>
      </x:c>
      <x:c r="AF88" s="38" t="n">
        <x:v>0</x:v>
      </x:c>
      <x:c r="AG88" s="38" t="n">
        <x:v>0</x:v>
      </x:c>
      <x:c r="AH88" s="38" t="n">
        <x:v>0</x:v>
      </x:c>
      <x:c r="AI88" s="38" t="n">
        <x:v>0</x:v>
      </x:c>
      <x:c r="AJ88" s="38" t="n">
        <x:v>1</x:v>
      </x:c>
      <x:c r="AK88" s="38" t="n">
        <x:v>0</x:v>
      </x:c>
      <x:c r="AL88" s="38" t="n">
        <x:v>1</x:v>
      </x:c>
      <x:c r="AM88" s="38" t="n">
        <x:v>0.5</x:v>
      </x:c>
      <x:c r="AN88" s="38" t="n">
        <x:v>1</x:v>
      </x:c>
      <x:c r="AO88" s="38" t="n">
        <x:v>0</x:v>
      </x:c>
      <x:c r="AP88" s="38" t="n">
        <x:v>0</x:v>
      </x:c>
      <x:c r="AQ88" s="28" t="str">
        <x:v>表面阳性为环境阳性子集且症状分组很小；20%量化步长不能唯一证明分母恰为5。</x:v>
      </x:c>
      <x:c r="AR88" s="28" t="str">
        <x:v>https://raw.githubusercontent.com/ZYDTR/truthinsightbench-dwf-scoring/main/runs/Life_04_environmental_transfer_boundary/workspace/output/Result.md</x:v>
      </x:c>
      <x:c r="AS88" s="28" t="str">
        <x:v>待核验；暂不计入</x:v>
      </x:c>
    </x:row>
    <x:row r="89" ht="65" customHeight="1">
      <x:c r="A89" s="14" t="n">
        <x:v>84</x:v>
      </x:c>
      <x:c r="B89" s="14" t="str">
        <x:v>Life_04_environmental_transfer_boundary</x:v>
      </x:c>
      <x:c r="C89" s="14" t="str">
        <x:v>F5</x:v>
      </x:c>
      <x:c r="D89" s="28" t="str">
        <x:v>综合层级校正再次限定显著性</x:v>
      </x:c>
      <x:c r="E89" s="14" t="str">
        <x:v>G2</x:v>
      </x:c>
      <x:c r="F89" s="14" t="n">
        <x:v>0</x:v>
      </x:c>
      <x:c r="G89" s="36" t="n">
        <x:f>SUMPRODUCT(N89:AP89,$N$4:$AP$4)</x:f>
        <x:v>66.5</x:v>
      </x:c>
      <x:c r="H89" s="36" t="n">
        <x:f>SUMPRODUCT(N89:U89,$N$4:$U$4)</x:f>
        <x:v>32.5</x:v>
      </x:c>
      <x:c r="I89" s="36" t="n">
        <x:f>SUMPRODUCT(V89:Z89,$V$4:$Z$4)</x:f>
        <x:v>12</x:v>
      </x:c>
      <x:c r="J89" s="36" t="n">
        <x:f>SUMPRODUCT(AA89:AE89,$AA$4:$AE$4)</x:f>
        <x:v>13.5</x:v>
      </x:c>
      <x:c r="K89" s="36" t="n">
        <x:f>SUMPRODUCT(AF89:AI89,$AF$4:$AI$4)</x:f>
        <x:v>2</x:v>
      </x:c>
      <x:c r="L89" s="36" t="n">
        <x:f>SUMPRODUCT(AJ89:AK89,$AJ$4:$AK$4)</x:f>
        <x:v>4</x:v>
      </x:c>
      <x:c r="M89" s="36" t="n">
        <x:f>SUMPRODUCT(AL89:AP89,$AL$4:$AP$4)</x:f>
        <x:v>2.5</x:v>
      </x:c>
      <x:c r="N89" s="38" t="n">
        <x:v>0.5</x:v>
      </x:c>
      <x:c r="O89" s="38" t="n">
        <x:v>1</x:v>
      </x:c>
      <x:c r="P89" s="38" t="n">
        <x:v>0.5</x:v>
      </x:c>
      <x:c r="Q89" s="38" t="n">
        <x:v>1</x:v>
      </x:c>
      <x:c r="R89" s="38" t="n">
        <x:v>0.5</x:v>
      </x:c>
      <x:c r="S89" s="38" t="n">
        <x:v>0.5</x:v>
      </x:c>
      <x:c r="T89" s="38" t="n">
        <x:v>1</x:v>
      </x:c>
      <x:c r="U89" s="38" t="n">
        <x:v>1</x:v>
      </x:c>
      <x:c r="V89" s="38" t="n">
        <x:v>1</x:v>
      </x:c>
      <x:c r="W89" s="38" t="n">
        <x:v>0</x:v>
      </x:c>
      <x:c r="X89" s="38" t="n">
        <x:v>1</x:v>
      </x:c>
      <x:c r="Y89" s="38" t="n">
        <x:v>1</x:v>
      </x:c>
      <x:c r="Z89" s="38" t="n">
        <x:v>1</x:v>
      </x:c>
      <x:c r="AA89" s="38" t="n">
        <x:v>1</x:v>
      </x:c>
      <x:c r="AB89" s="38" t="n">
        <x:v>1</x:v>
      </x:c>
      <x:c r="AC89" s="38" t="n">
        <x:v>1</x:v>
      </x:c>
      <x:c r="AD89" s="38" t="n">
        <x:v>1</x:v>
      </x:c>
      <x:c r="AE89" s="38" t="n">
        <x:v>0.5</x:v>
      </x:c>
      <x:c r="AF89" s="38" t="n">
        <x:v>0.5</x:v>
      </x:c>
      <x:c r="AG89" s="38" t="n">
        <x:v>0</x:v>
      </x:c>
      <x:c r="AH89" s="38" t="n">
        <x:v>0</x:v>
      </x:c>
      <x:c r="AI89" s="38" t="n">
        <x:v>0.5</x:v>
      </x:c>
      <x:c r="AJ89" s="38" t="n">
        <x:v>1</x:v>
      </x:c>
      <x:c r="AK89" s="38" t="n">
        <x:v>0</x:v>
      </x:c>
      <x:c r="AL89" s="38" t="n">
        <x:v>1</x:v>
      </x:c>
      <x:c r="AM89" s="38" t="n">
        <x:v>0.5</x:v>
      </x:c>
      <x:c r="AN89" s="38" t="n">
        <x:v>1</x:v>
      </x:c>
      <x:c r="AO89" s="38" t="n">
        <x:v>0</x:v>
      </x:c>
      <x:c r="AP89" s="38" t="n">
        <x:v>0</x:v>
      </x:c>
      <x:c r="AQ89" s="28" t="str">
        <x:v>Holm与单位级重估有用，但病程关联丢失是F3的同一核心结论；综合汇总不另计独立发现数量。</x:v>
      </x:c>
      <x:c r="AR89" s="28" t="str">
        <x:v>https://raw.githubusercontent.com/ZYDTR/truthinsightbench-dwf-scoring/main/runs/Life_04_environmental_transfer_boundary/workspace/output/Result.md</x:v>
      </x:c>
      <x:c r="AS89" s="28" t="str">
        <x:v>待核验；暂不计入</x:v>
      </x:c>
    </x:row>
    <x:row r="90" ht="65" customHeight="1">
      <x:c r="A90" s="14" t="n">
        <x:v>85</x:v>
      </x:c>
      <x:c r="B90" s="14" t="str">
        <x:v>Life_05_developmental_interaction_structure</x:v>
      </x:c>
      <x:c r="C90" s="14" t="str">
        <x:v>F1</x:v>
      </x:c>
      <x:c r="D90" s="28" t="str">
        <x:v>阶段效应为家族内有限增量</x:v>
      </x:c>
      <x:c r="E90" s="14" t="str">
        <x:v>G1</x:v>
      </x:c>
      <x:c r="F90" s="14" t="n">
        <x:v>0</x:v>
      </x:c>
      <x:c r="G90" s="36" t="n">
        <x:f>SUMPRODUCT(N90:AP90,$N$4:$AP$4)</x:f>
        <x:v>68.5</x:v>
      </x:c>
      <x:c r="H90" s="36" t="n">
        <x:f>SUMPRODUCT(N90:U90,$N$4:$U$4)</x:f>
        <x:v>32.5</x:v>
      </x:c>
      <x:c r="I90" s="36" t="n">
        <x:f>SUMPRODUCT(V90:Z90,$V$4:$Z$4)</x:f>
        <x:v>12</x:v>
      </x:c>
      <x:c r="J90" s="36" t="n">
        <x:f>SUMPRODUCT(AA90:AE90,$AA$4:$AE$4)</x:f>
        <x:v>13.5</x:v>
      </x:c>
      <x:c r="K90" s="36" t="n">
        <x:f>SUMPRODUCT(AF90:AI90,$AF$4:$AI$4)</x:f>
        <x:v>4</x:v>
      </x:c>
      <x:c r="L90" s="36" t="n">
        <x:f>SUMPRODUCT(AJ90:AK90,$AJ$4:$AK$4)</x:f>
        <x:v>4</x:v>
      </x:c>
      <x:c r="M90" s="36" t="n">
        <x:f>SUMPRODUCT(AL90:AP90,$AL$4:$AP$4)</x:f>
        <x:v>2.5</x:v>
      </x:c>
      <x:c r="N90" s="38" t="n">
        <x:v>0.5</x:v>
      </x:c>
      <x:c r="O90" s="38" t="n">
        <x:v>1</x:v>
      </x:c>
      <x:c r="P90" s="38" t="n">
        <x:v>0.5</x:v>
      </x:c>
      <x:c r="Q90" s="38" t="n">
        <x:v>1</x:v>
      </x:c>
      <x:c r="R90" s="38" t="n">
        <x:v>0.5</x:v>
      </x:c>
      <x:c r="S90" s="38" t="n">
        <x:v>0.5</x:v>
      </x:c>
      <x:c r="T90" s="38" t="n">
        <x:v>1</x:v>
      </x:c>
      <x:c r="U90" s="38" t="n">
        <x:v>1</x:v>
      </x:c>
      <x:c r="V90" s="38" t="n">
        <x:v>1</x:v>
      </x:c>
      <x:c r="W90" s="38" t="n">
        <x:v>0</x:v>
      </x:c>
      <x:c r="X90" s="38" t="n">
        <x:v>1</x:v>
      </x:c>
      <x:c r="Y90" s="38" t="n">
        <x:v>1</x:v>
      </x:c>
      <x:c r="Z90" s="38" t="n">
        <x:v>1</x:v>
      </x:c>
      <x:c r="AA90" s="38" t="n">
        <x:v>1</x:v>
      </x:c>
      <x:c r="AB90" s="38" t="n">
        <x:v>1</x:v>
      </x:c>
      <x:c r="AC90" s="38" t="n">
        <x:v>1</x:v>
      </x:c>
      <x:c r="AD90" s="38" t="n">
        <x:v>1</x:v>
      </x:c>
      <x:c r="AE90" s="38" t="n">
        <x:v>0.5</x:v>
      </x:c>
      <x:c r="AF90" s="38" t="n">
        <x:v>1</x:v>
      </x:c>
      <x:c r="AG90" s="38" t="n">
        <x:v>0</x:v>
      </x:c>
      <x:c r="AH90" s="38" t="n">
        <x:v>0</x:v>
      </x:c>
      <x:c r="AI90" s="38" t="n">
        <x:v>1</x:v>
      </x:c>
      <x:c r="AJ90" s="38" t="n">
        <x:v>1</x:v>
      </x:c>
      <x:c r="AK90" s="38" t="n">
        <x:v>0</x:v>
      </x:c>
      <x:c r="AL90" s="38" t="n">
        <x:v>1</x:v>
      </x:c>
      <x:c r="AM90" s="38" t="n">
        <x:v>0.5</x:v>
      </x:c>
      <x:c r="AN90" s="38" t="n">
        <x:v>1</x:v>
      </x:c>
      <x:c r="AO90" s="38" t="n">
        <x:v>0</x:v>
      </x:c>
      <x:c r="AP90" s="38" t="n">
        <x:v>0</x:v>
      </x:c>
      <x:c r="AQ90" s="28" t="str">
        <x:v>家族聚类与214家族留出有支持；使用单位均值的条件预测不是冷启动预测，均衡子集变弱已报告。</x:v>
      </x:c>
      <x:c r="AR90" s="28" t="str">
        <x:v>https://raw.githubusercontent.com/ZYDTR/truthinsightbench-dwf-scoring/main/runs/Life_05_developmental_interaction_structure/workspace/output/Result.md</x:v>
      </x:c>
      <x:c r="AS90" s="28" t="str">
        <x:v>待核验；暂不计入</x:v>
      </x:c>
    </x:row>
    <x:row r="91" ht="65" customHeight="1">
      <x:c r="A91" s="14" t="n">
        <x:v>86</x:v>
      </x:c>
      <x:c r="B91" s="14" t="str">
        <x:v>Life_05_developmental_interaction_structure</x:v>
      </x:c>
      <x:c r="C91" s="14" t="str">
        <x:v>F2</x:v>
      </x:c>
      <x:c r="D91" s="28" t="str">
        <x:v>家族和单位差异主导总体方差</x:v>
      </x:c>
      <x:c r="E91" s="14" t="str">
        <x:v>G3</x:v>
      </x:c>
      <x:c r="F91" s="14" t="n">
        <x:v>0</x:v>
      </x:c>
      <x:c r="G91" s="36" t="n">
        <x:f>SUMPRODUCT(N91:AP91,$N$4:$AP$4)</x:f>
        <x:v>66.5</x:v>
      </x:c>
      <x:c r="H91" s="36" t="n">
        <x:f>SUMPRODUCT(N91:U91,$N$4:$U$4)</x:f>
        <x:v>32.5</x:v>
      </x:c>
      <x:c r="I91" s="36" t="n">
        <x:f>SUMPRODUCT(V91:Z91,$V$4:$Z$4)</x:f>
        <x:v>12</x:v>
      </x:c>
      <x:c r="J91" s="36" t="n">
        <x:f>SUMPRODUCT(AA91:AE91,$AA$4:$AE$4)</x:f>
        <x:v>13.5</x:v>
      </x:c>
      <x:c r="K91" s="36" t="n">
        <x:f>SUMPRODUCT(AF91:AI91,$AF$4:$AI$4)</x:f>
        <x:v>2</x:v>
      </x:c>
      <x:c r="L91" s="36" t="n">
        <x:f>SUMPRODUCT(AJ91:AK91,$AJ$4:$AK$4)</x:f>
        <x:v>4</x:v>
      </x:c>
      <x:c r="M91" s="36" t="n">
        <x:f>SUMPRODUCT(AL91:AP91,$AL$4:$AP$4)</x:f>
        <x:v>2.5</x:v>
      </x:c>
      <x:c r="N91" s="38" t="n">
        <x:v>0.5</x:v>
      </x:c>
      <x:c r="O91" s="38" t="n">
        <x:v>1</x:v>
      </x:c>
      <x:c r="P91" s="38" t="n">
        <x:v>0.5</x:v>
      </x:c>
      <x:c r="Q91" s="38" t="n">
        <x:v>1</x:v>
      </x:c>
      <x:c r="R91" s="38" t="n">
        <x:v>0.5</x:v>
      </x:c>
      <x:c r="S91" s="38" t="n">
        <x:v>0.5</x:v>
      </x:c>
      <x:c r="T91" s="38" t="n">
        <x:v>1</x:v>
      </x:c>
      <x:c r="U91" s="38" t="n">
        <x:v>1</x:v>
      </x:c>
      <x:c r="V91" s="38" t="n">
        <x:v>1</x:v>
      </x:c>
      <x:c r="W91" s="38" t="n">
        <x:v>0</x:v>
      </x:c>
      <x:c r="X91" s="38" t="n">
        <x:v>1</x:v>
      </x:c>
      <x:c r="Y91" s="38" t="n">
        <x:v>1</x:v>
      </x:c>
      <x:c r="Z91" s="38" t="n">
        <x:v>1</x:v>
      </x:c>
      <x:c r="AA91" s="38" t="n">
        <x:v>1</x:v>
      </x:c>
      <x:c r="AB91" s="38" t="n">
        <x:v>1</x:v>
      </x:c>
      <x:c r="AC91" s="38" t="n">
        <x:v>1</x:v>
      </x:c>
      <x:c r="AD91" s="38" t="n">
        <x:v>1</x:v>
      </x:c>
      <x:c r="AE91" s="38" t="n">
        <x:v>0.5</x:v>
      </x:c>
      <x:c r="AF91" s="38" t="n">
        <x:v>0.5</x:v>
      </x:c>
      <x:c r="AG91" s="38" t="n">
        <x:v>0</x:v>
      </x:c>
      <x:c r="AH91" s="38" t="n">
        <x:v>0</x:v>
      </x:c>
      <x:c r="AI91" s="38" t="n">
        <x:v>0.5</x:v>
      </x:c>
      <x:c r="AJ91" s="38" t="n">
        <x:v>1</x:v>
      </x:c>
      <x:c r="AK91" s="38" t="n">
        <x:v>0</x:v>
      </x:c>
      <x:c r="AL91" s="38" t="n">
        <x:v>1</x:v>
      </x:c>
      <x:c r="AM91" s="38" t="n">
        <x:v>0.5</x:v>
      </x:c>
      <x:c r="AN91" s="38" t="n">
        <x:v>1</x:v>
      </x:c>
      <x:c r="AO91" s="38" t="n">
        <x:v>0</x:v>
      </x:c>
      <x:c r="AP91" s="38" t="n">
        <x:v>0</x:v>
      </x:c>
      <x:c r="AQ91" s="28" t="str">
        <x:v>ICC、方差分解和分半结果一致；不能分开生物差异与技术漂移的限制明确。</x:v>
      </x:c>
      <x:c r="AR91" s="28" t="str">
        <x:v>https://raw.githubusercontent.com/ZYDTR/truthinsightbench-dwf-scoring/main/runs/Life_05_developmental_interaction_structure/workspace/output/Result.md</x:v>
      </x:c>
      <x:c r="AS91" s="28" t="str">
        <x:v>待核验；暂不计入</x:v>
      </x:c>
    </x:row>
    <x:row r="92" ht="65" customHeight="1">
      <x:c r="A92" s="14" t="n">
        <x:v>87</x:v>
      </x:c>
      <x:c r="B92" s="14" t="str">
        <x:v>Life_05_developmental_interaction_structure</x:v>
      </x:c>
      <x:c r="C92" s="14" t="str">
        <x:v>F3</x:v>
      </x:c>
      <x:c r="D92" s="28" t="str">
        <x:v>离散化p值与强度并非同一证据</x:v>
      </x:c>
      <x:c r="E92" s="14" t="str">
        <x:v>G4</x:v>
      </x:c>
      <x:c r="F92" s="14" t="n">
        <x:v>0</x:v>
      </x:c>
      <x:c r="G92" s="36" t="n">
        <x:f>SUMPRODUCT(N92:AP92,$N$4:$AP$4)</x:f>
        <x:v>66.5</x:v>
      </x:c>
      <x:c r="H92" s="36" t="n">
        <x:f>SUMPRODUCT(N92:U92,$N$4:$U$4)</x:f>
        <x:v>32.5</x:v>
      </x:c>
      <x:c r="I92" s="36" t="n">
        <x:f>SUMPRODUCT(V92:Z92,$V$4:$Z$4)</x:f>
        <x:v>12</x:v>
      </x:c>
      <x:c r="J92" s="36" t="n">
        <x:f>SUMPRODUCT(AA92:AE92,$AA$4:$AE$4)</x:f>
        <x:v>13.5</x:v>
      </x:c>
      <x:c r="K92" s="36" t="n">
        <x:f>SUMPRODUCT(AF92:AI92,$AF$4:$AI$4)</x:f>
        <x:v>2</x:v>
      </x:c>
      <x:c r="L92" s="36" t="n">
        <x:f>SUMPRODUCT(AJ92:AK92,$AJ$4:$AK$4)</x:f>
        <x:v>4</x:v>
      </x:c>
      <x:c r="M92" s="36" t="n">
        <x:f>SUMPRODUCT(AL92:AP92,$AL$4:$AP$4)</x:f>
        <x:v>2.5</x:v>
      </x:c>
      <x:c r="N92" s="38" t="n">
        <x:v>0.5</x:v>
      </x:c>
      <x:c r="O92" s="38" t="n">
        <x:v>1</x:v>
      </x:c>
      <x:c r="P92" s="38" t="n">
        <x:v>0.5</x:v>
      </x:c>
      <x:c r="Q92" s="38" t="n">
        <x:v>1</x:v>
      </x:c>
      <x:c r="R92" s="38" t="n">
        <x:v>0.5</x:v>
      </x:c>
      <x:c r="S92" s="38" t="n">
        <x:v>0.5</x:v>
      </x:c>
      <x:c r="T92" s="38" t="n">
        <x:v>1</x:v>
      </x:c>
      <x:c r="U92" s="38" t="n">
        <x:v>1</x:v>
      </x:c>
      <x:c r="V92" s="38" t="n">
        <x:v>1</x:v>
      </x:c>
      <x:c r="W92" s="38" t="n">
        <x:v>0</x:v>
      </x:c>
      <x:c r="X92" s="38" t="n">
        <x:v>1</x:v>
      </x:c>
      <x:c r="Y92" s="38" t="n">
        <x:v>1</x:v>
      </x:c>
      <x:c r="Z92" s="38" t="n">
        <x:v>1</x:v>
      </x:c>
      <x:c r="AA92" s="38" t="n">
        <x:v>1</x:v>
      </x:c>
      <x:c r="AB92" s="38" t="n">
        <x:v>1</x:v>
      </x:c>
      <x:c r="AC92" s="38" t="n">
        <x:v>1</x:v>
      </x:c>
      <x:c r="AD92" s="38" t="n">
        <x:v>1</x:v>
      </x:c>
      <x:c r="AE92" s="38" t="n">
        <x:v>0.5</x:v>
      </x:c>
      <x:c r="AF92" s="38" t="n">
        <x:v>0.5</x:v>
      </x:c>
      <x:c r="AG92" s="38" t="n">
        <x:v>0</x:v>
      </x:c>
      <x:c r="AH92" s="38" t="n">
        <x:v>0</x:v>
      </x:c>
      <x:c r="AI92" s="38" t="n">
        <x:v>0.5</x:v>
      </x:c>
      <x:c r="AJ92" s="38" t="n">
        <x:v>1</x:v>
      </x:c>
      <x:c r="AK92" s="38" t="n">
        <x:v>0</x:v>
      </x:c>
      <x:c r="AL92" s="38" t="n">
        <x:v>1</x:v>
      </x:c>
      <x:c r="AM92" s="38" t="n">
        <x:v>0.5</x:v>
      </x:c>
      <x:c r="AN92" s="38" t="n">
        <x:v>1</x:v>
      </x:c>
      <x:c r="AO92" s="38" t="n">
        <x:v>0</x:v>
      </x:c>
      <x:c r="AP92" s="38" t="n">
        <x:v>0</x:v>
      </x:c>
      <x:c r="AQ92" s="28" t="str">
        <x:v>87.6%落在最小p值档，非地板数据关联弱；用受限置换而非把离散证据当连续精度。</x:v>
      </x:c>
      <x:c r="AR92" s="28" t="str">
        <x:v>https://raw.githubusercontent.com/ZYDTR/truthinsightbench-dwf-scoring/main/runs/Life_05_developmental_interaction_structure/workspace/output/Result.md</x:v>
      </x:c>
      <x:c r="AS92" s="28" t="str">
        <x:v>待核验；暂不计入</x:v>
      </x:c>
    </x:row>
    <x:row r="93" ht="65" customHeight="1">
      <x:c r="A93" s="14" t="n">
        <x:v>88</x:v>
      </x:c>
      <x:c r="B93" s="14" t="str">
        <x:v>Life_05_developmental_interaction_structure</x:v>
      </x:c>
      <x:c r="C93" s="14" t="str">
        <x:v>F4</x:v>
      </x:c>
      <x:c r="D93" s="28" t="str">
        <x:v>交互方向存在广泛家族异质性</x:v>
      </x:c>
      <x:c r="E93" s="14" t="str">
        <x:v>G2</x:v>
      </x:c>
      <x:c r="F93" s="14" t="n">
        <x:v>0</x:v>
      </x:c>
      <x:c r="G93" s="36" t="n">
        <x:f>SUMPRODUCT(N93:AP93,$N$4:$AP$4)</x:f>
        <x:v>68.5</x:v>
      </x:c>
      <x:c r="H93" s="36" t="n">
        <x:f>SUMPRODUCT(N93:U93,$N$4:$U$4)</x:f>
        <x:v>32.5</x:v>
      </x:c>
      <x:c r="I93" s="36" t="n">
        <x:f>SUMPRODUCT(V93:Z93,$V$4:$Z$4)</x:f>
        <x:v>12</x:v>
      </x:c>
      <x:c r="J93" s="36" t="n">
        <x:f>SUMPRODUCT(AA93:AE93,$AA$4:$AE$4)</x:f>
        <x:v>13.5</x:v>
      </x:c>
      <x:c r="K93" s="36" t="n">
        <x:f>SUMPRODUCT(AF93:AI93,$AF$4:$AI$4)</x:f>
        <x:v>4</x:v>
      </x:c>
      <x:c r="L93" s="36" t="n">
        <x:f>SUMPRODUCT(AJ93:AK93,$AJ$4:$AK$4)</x:f>
        <x:v>4</x:v>
      </x:c>
      <x:c r="M93" s="36" t="n">
        <x:f>SUMPRODUCT(AL93:AP93,$AL$4:$AP$4)</x:f>
        <x:v>2.5</x:v>
      </x:c>
      <x:c r="N93" s="38" t="n">
        <x:v>0.5</x:v>
      </x:c>
      <x:c r="O93" s="38" t="n">
        <x:v>1</x:v>
      </x:c>
      <x:c r="P93" s="38" t="n">
        <x:v>0.5</x:v>
      </x:c>
      <x:c r="Q93" s="38" t="n">
        <x:v>1</x:v>
      </x:c>
      <x:c r="R93" s="38" t="n">
        <x:v>0.5</x:v>
      </x:c>
      <x:c r="S93" s="38" t="n">
        <x:v>0.5</x:v>
      </x:c>
      <x:c r="T93" s="38" t="n">
        <x:v>1</x:v>
      </x:c>
      <x:c r="U93" s="38" t="n">
        <x:v>1</x:v>
      </x:c>
      <x:c r="V93" s="38" t="n">
        <x:v>1</x:v>
      </x:c>
      <x:c r="W93" s="38" t="n">
        <x:v>0</x:v>
      </x:c>
      <x:c r="X93" s="38" t="n">
        <x:v>1</x:v>
      </x:c>
      <x:c r="Y93" s="38" t="n">
        <x:v>1</x:v>
      </x:c>
      <x:c r="Z93" s="38" t="n">
        <x:v>1</x:v>
      </x:c>
      <x:c r="AA93" s="38" t="n">
        <x:v>1</x:v>
      </x:c>
      <x:c r="AB93" s="38" t="n">
        <x:v>1</x:v>
      </x:c>
      <x:c r="AC93" s="38" t="n">
        <x:v>1</x:v>
      </x:c>
      <x:c r="AD93" s="38" t="n">
        <x:v>1</x:v>
      </x:c>
      <x:c r="AE93" s="38" t="n">
        <x:v>0.5</x:v>
      </x:c>
      <x:c r="AF93" s="38" t="n">
        <x:v>1</x:v>
      </x:c>
      <x:c r="AG93" s="38" t="n">
        <x:v>0</x:v>
      </x:c>
      <x:c r="AH93" s="38" t="n">
        <x:v>0</x:v>
      </x:c>
      <x:c r="AI93" s="38" t="n">
        <x:v>1</x:v>
      </x:c>
      <x:c r="AJ93" s="38" t="n">
        <x:v>1</x:v>
      </x:c>
      <x:c r="AK93" s="38" t="n">
        <x:v>0</x:v>
      </x:c>
      <x:c r="AL93" s="38" t="n">
        <x:v>1</x:v>
      </x:c>
      <x:c r="AM93" s="38" t="n">
        <x:v>0.5</x:v>
      </x:c>
      <x:c r="AN93" s="38" t="n">
        <x:v>1</x:v>
      </x:c>
      <x:c r="AO93" s="38" t="n">
        <x:v>0</x:v>
      </x:c>
      <x:c r="AP93" s="38" t="n">
        <x:v>0</x:v>
      </x:c>
      <x:c r="AQ93" s="28" t="str">
        <x:v>符号翻转和留家族结果显示非普遍效应；分类阈值及102/214改善边界已列出。</x:v>
      </x:c>
      <x:c r="AR93" s="28" t="str">
        <x:v>https://raw.githubusercontent.com/ZYDTR/truthinsightbench-dwf-scoring/main/runs/Life_05_developmental_interaction_structure/workspace/output/Result.md</x:v>
      </x:c>
      <x:c r="AS93" s="28" t="str">
        <x:v>待核验；暂不计入</x:v>
      </x:c>
    </x:row>
    <x:row r="94" ht="65" customHeight="1">
      <x:c r="A94" s="14" t="n">
        <x:v>89</x:v>
      </x:c>
      <x:c r="B94" s="14" t="str">
        <x:v>Life_05_developmental_interaction_structure</x:v>
      </x:c>
      <x:c r="C94" s="14" t="str">
        <x:v>F5</x:v>
      </x:c>
      <x:c r="D94" s="28" t="str">
        <x:v>强度连续而显著性标签不稳定</x:v>
      </x:c>
      <x:c r="E94" s="14" t="str">
        <x:v>G5</x:v>
      </x:c>
      <x:c r="F94" s="14" t="n">
        <x:v>0</x:v>
      </x:c>
      <x:c r="G94" s="36" t="n">
        <x:f>SUMPRODUCT(N94:AP94,$N$4:$AP$4)</x:f>
        <x:v>66.5</x:v>
      </x:c>
      <x:c r="H94" s="36" t="n">
        <x:f>SUMPRODUCT(N94:U94,$N$4:$U$4)</x:f>
        <x:v>32.5</x:v>
      </x:c>
      <x:c r="I94" s="36" t="n">
        <x:f>SUMPRODUCT(V94:Z94,$V$4:$Z$4)</x:f>
        <x:v>12</x:v>
      </x:c>
      <x:c r="J94" s="36" t="n">
        <x:f>SUMPRODUCT(AA94:AE94,$AA$4:$AE$4)</x:f>
        <x:v>13.5</x:v>
      </x:c>
      <x:c r="K94" s="36" t="n">
        <x:f>SUMPRODUCT(AF94:AI94,$AF$4:$AI$4)</x:f>
        <x:v>2</x:v>
      </x:c>
      <x:c r="L94" s="36" t="n">
        <x:f>SUMPRODUCT(AJ94:AK94,$AJ$4:$AK$4)</x:f>
        <x:v>4</x:v>
      </x:c>
      <x:c r="M94" s="36" t="n">
        <x:f>SUMPRODUCT(AL94:AP94,$AL$4:$AP$4)</x:f>
        <x:v>2.5</x:v>
      </x:c>
      <x:c r="N94" s="38" t="n">
        <x:v>0.5</x:v>
      </x:c>
      <x:c r="O94" s="38" t="n">
        <x:v>1</x:v>
      </x:c>
      <x:c r="P94" s="38" t="n">
        <x:v>0.5</x:v>
      </x:c>
      <x:c r="Q94" s="38" t="n">
        <x:v>1</x:v>
      </x:c>
      <x:c r="R94" s="38" t="n">
        <x:v>0.5</x:v>
      </x:c>
      <x:c r="S94" s="38" t="n">
        <x:v>0.5</x:v>
      </x:c>
      <x:c r="T94" s="38" t="n">
        <x:v>1</x:v>
      </x:c>
      <x:c r="U94" s="38" t="n">
        <x:v>1</x:v>
      </x:c>
      <x:c r="V94" s="38" t="n">
        <x:v>1</x:v>
      </x:c>
      <x:c r="W94" s="38" t="n">
        <x:v>0</x:v>
      </x:c>
      <x:c r="X94" s="38" t="n">
        <x:v>1</x:v>
      </x:c>
      <x:c r="Y94" s="38" t="n">
        <x:v>1</x:v>
      </x:c>
      <x:c r="Z94" s="38" t="n">
        <x:v>1</x:v>
      </x:c>
      <x:c r="AA94" s="38" t="n">
        <x:v>1</x:v>
      </x:c>
      <x:c r="AB94" s="38" t="n">
        <x:v>1</x:v>
      </x:c>
      <x:c r="AC94" s="38" t="n">
        <x:v>1</x:v>
      </x:c>
      <x:c r="AD94" s="38" t="n">
        <x:v>1</x:v>
      </x:c>
      <x:c r="AE94" s="38" t="n">
        <x:v>0.5</x:v>
      </x:c>
      <x:c r="AF94" s="38" t="n">
        <x:v>0.5</x:v>
      </x:c>
      <x:c r="AG94" s="38" t="n">
        <x:v>0</x:v>
      </x:c>
      <x:c r="AH94" s="38" t="n">
        <x:v>0</x:v>
      </x:c>
      <x:c r="AI94" s="38" t="n">
        <x:v>0.5</x:v>
      </x:c>
      <x:c r="AJ94" s="38" t="n">
        <x:v>1</x:v>
      </x:c>
      <x:c r="AK94" s="38" t="n">
        <x:v>0</x:v>
      </x:c>
      <x:c r="AL94" s="38" t="n">
        <x:v>1</x:v>
      </x:c>
      <x:c r="AM94" s="38" t="n">
        <x:v>0.5</x:v>
      </x:c>
      <x:c r="AN94" s="38" t="n">
        <x:v>1</x:v>
      </x:c>
      <x:c r="AO94" s="38" t="n">
        <x:v>0</x:v>
      </x:c>
      <x:c r="AP94" s="38" t="n">
        <x:v>0</x:v>
      </x:c>
      <x:c r="AQ94" s="28" t="str">
        <x:v>强度r≈0.908而标签κ≈0.122；先前缺失填充错误已纠正，不处罚已撤回数值。</x:v>
      </x:c>
      <x:c r="AR94" s="28" t="str">
        <x:v>https://raw.githubusercontent.com/ZYDTR/truthinsightbench-dwf-scoring/main/runs/Life_05_developmental_interaction_structure/workspace/output/Result.md</x:v>
      </x:c>
      <x:c r="AS94" s="28" t="str">
        <x:v>待核验；暂不计入</x:v>
      </x:c>
    </x:row>
    <x:row r="95" ht="65" customHeight="1">
      <x:c r="A95" s="14" t="n">
        <x:v>90</x:v>
      </x:c>
      <x:c r="B95" s="14" t="str">
        <x:v>Math_02_compositional_invariants</x:v>
      </x:c>
      <x:c r="C95" s="14" t="str">
        <x:v>F1</x:v>
      </x:c>
      <x:c r="D95" s="28" t="str">
        <x:v>简单线性组成不变量不足</x:v>
      </x:c>
      <x:c r="E95" s="14" t="str">
        <x:v>G1</x:v>
      </x:c>
      <x:c r="F95" s="14" t="n">
        <x:v>0</x:v>
      </x:c>
      <x:c r="G95" s="36" t="n">
        <x:f>SUMPRODUCT(N95:AP95,$N$4:$AP$4)</x:f>
        <x:v>68.5</x:v>
      </x:c>
      <x:c r="H95" s="36" t="n">
        <x:f>SUMPRODUCT(N95:U95,$N$4:$U$4)</x:f>
        <x:v>32.5</x:v>
      </x:c>
      <x:c r="I95" s="36" t="n">
        <x:f>SUMPRODUCT(V95:Z95,$V$4:$Z$4)</x:f>
        <x:v>12</x:v>
      </x:c>
      <x:c r="J95" s="36" t="n">
        <x:f>SUMPRODUCT(AA95:AE95,$AA$4:$AE$4)</x:f>
        <x:v>13.5</x:v>
      </x:c>
      <x:c r="K95" s="36" t="n">
        <x:f>SUMPRODUCT(AF95:AI95,$AF$4:$AI$4)</x:f>
        <x:v>4</x:v>
      </x:c>
      <x:c r="L95" s="36" t="n">
        <x:f>SUMPRODUCT(AJ95:AK95,$AJ$4:$AK$4)</x:f>
        <x:v>4</x:v>
      </x:c>
      <x:c r="M95" s="36" t="n">
        <x:f>SUMPRODUCT(AL95:AP95,$AL$4:$AP$4)</x:f>
        <x:v>2.5</x:v>
      </x:c>
      <x:c r="N95" s="38" t="n">
        <x:v>0.5</x:v>
      </x:c>
      <x:c r="O95" s="38" t="n">
        <x:v>1</x:v>
      </x:c>
      <x:c r="P95" s="38" t="n">
        <x:v>0.5</x:v>
      </x:c>
      <x:c r="Q95" s="38" t="n">
        <x:v>1</x:v>
      </x:c>
      <x:c r="R95" s="38" t="n">
        <x:v>0.5</x:v>
      </x:c>
      <x:c r="S95" s="38" t="n">
        <x:v>0.5</x:v>
      </x:c>
      <x:c r="T95" s="38" t="n">
        <x:v>1</x:v>
      </x:c>
      <x:c r="U95" s="38" t="n">
        <x:v>1</x:v>
      </x:c>
      <x:c r="V95" s="38" t="n">
        <x:v>1</x:v>
      </x:c>
      <x:c r="W95" s="38" t="n">
        <x:v>0</x:v>
      </x:c>
      <x:c r="X95" s="38" t="n">
        <x:v>1</x:v>
      </x:c>
      <x:c r="Y95" s="38" t="n">
        <x:v>1</x:v>
      </x:c>
      <x:c r="Z95" s="38" t="n">
        <x:v>1</x:v>
      </x:c>
      <x:c r="AA95" s="38" t="n">
        <x:v>1</x:v>
      </x:c>
      <x:c r="AB95" s="38" t="n">
        <x:v>1</x:v>
      </x:c>
      <x:c r="AC95" s="38" t="n">
        <x:v>1</x:v>
      </x:c>
      <x:c r="AD95" s="38" t="n">
        <x:v>1</x:v>
      </x:c>
      <x:c r="AE95" s="38" t="n">
        <x:v>0.5</x:v>
      </x:c>
      <x:c r="AF95" s="38" t="n">
        <x:v>1</x:v>
      </x:c>
      <x:c r="AG95" s="38" t="n">
        <x:v>0</x:v>
      </x:c>
      <x:c r="AH95" s="38" t="n">
        <x:v>0</x:v>
      </x:c>
      <x:c r="AI95" s="38" t="n">
        <x:v>1</x:v>
      </x:c>
      <x:c r="AJ95" s="38" t="n">
        <x:v>1</x:v>
      </x:c>
      <x:c r="AK95" s="38" t="n">
        <x:v>0</x:v>
      </x:c>
      <x:c r="AL95" s="38" t="n">
        <x:v>1</x:v>
      </x:c>
      <x:c r="AM95" s="38" t="n">
        <x:v>0.5</x:v>
      </x:c>
      <x:c r="AN95" s="38" t="n">
        <x:v>1</x:v>
      </x:c>
      <x:c r="AO95" s="38" t="n">
        <x:v>0</x:v>
      </x:c>
      <x:c r="AP95" s="38" t="n">
        <x:v>0</x:v>
      </x:c>
      <x:c r="AQ95" s="28" t="str">
        <x:v>CLR、伪计数及PCA结果排除特定低维线性解释；不据此否定所有非线性不变量。</x:v>
      </x:c>
      <x:c r="AR95" s="28" t="str">
        <x:v>https://raw.githubusercontent.com/ZYDTR/truthinsightbench-dwf-scoring/main/runs/Math_02_compositional_invariants/workspace/output/Result.md</x:v>
      </x:c>
      <x:c r="AS95" s="28" t="str">
        <x:v>待核验；暂不计入</x:v>
      </x:c>
    </x:row>
    <x:row r="96" ht="65" customHeight="1">
      <x:c r="A96" s="14" t="n">
        <x:v>91</x:v>
      </x:c>
      <x:c r="B96" s="14" t="str">
        <x:v>Math_02_compositional_invariants</x:v>
      </x:c>
      <x:c r="C96" s="14" t="str">
        <x:v>F2</x:v>
      </x:c>
      <x:c r="D96" s="28" t="str">
        <x:v>协变量与丰富度关系经控制仍存在</x:v>
      </x:c>
      <x:c r="E96" s="14" t="str">
        <x:v>G2</x:v>
      </x:c>
      <x:c r="F96" s="14" t="n">
        <x:v>0</x:v>
      </x:c>
      <x:c r="G96" s="36" t="n">
        <x:f>SUMPRODUCT(N96:AP96,$N$4:$AP$4)</x:f>
        <x:v>68.5</x:v>
      </x:c>
      <x:c r="H96" s="36" t="n">
        <x:f>SUMPRODUCT(N96:U96,$N$4:$U$4)</x:f>
        <x:v>32.5</x:v>
      </x:c>
      <x:c r="I96" s="36" t="n">
        <x:f>SUMPRODUCT(V96:Z96,$V$4:$Z$4)</x:f>
        <x:v>12</x:v>
      </x:c>
      <x:c r="J96" s="36" t="n">
        <x:f>SUMPRODUCT(AA96:AE96,$AA$4:$AE$4)</x:f>
        <x:v>13.5</x:v>
      </x:c>
      <x:c r="K96" s="36" t="n">
        <x:f>SUMPRODUCT(AF96:AI96,$AF$4:$AI$4)</x:f>
        <x:v>4</x:v>
      </x:c>
      <x:c r="L96" s="36" t="n">
        <x:f>SUMPRODUCT(AJ96:AK96,$AJ$4:$AK$4)</x:f>
        <x:v>4</x:v>
      </x:c>
      <x:c r="M96" s="36" t="n">
        <x:f>SUMPRODUCT(AL96:AP96,$AL$4:$AP$4)</x:f>
        <x:v>2.5</x:v>
      </x:c>
      <x:c r="N96" s="38" t="n">
        <x:v>0.5</x:v>
      </x:c>
      <x:c r="O96" s="38" t="n">
        <x:v>1</x:v>
      </x:c>
      <x:c r="P96" s="38" t="n">
        <x:v>0.5</x:v>
      </x:c>
      <x:c r="Q96" s="38" t="n">
        <x:v>1</x:v>
      </x:c>
      <x:c r="R96" s="38" t="n">
        <x:v>0.5</x:v>
      </x:c>
      <x:c r="S96" s="38" t="n">
        <x:v>0.5</x:v>
      </x:c>
      <x:c r="T96" s="38" t="n">
        <x:v>1</x:v>
      </x:c>
      <x:c r="U96" s="38" t="n">
        <x:v>1</x:v>
      </x:c>
      <x:c r="V96" s="38" t="n">
        <x:v>1</x:v>
      </x:c>
      <x:c r="W96" s="38" t="n">
        <x:v>0</x:v>
      </x:c>
      <x:c r="X96" s="38" t="n">
        <x:v>1</x:v>
      </x:c>
      <x:c r="Y96" s="38" t="n">
        <x:v>1</x:v>
      </x:c>
      <x:c r="Z96" s="38" t="n">
        <x:v>1</x:v>
      </x:c>
      <x:c r="AA96" s="38" t="n">
        <x:v>1</x:v>
      </x:c>
      <x:c r="AB96" s="38" t="n">
        <x:v>1</x:v>
      </x:c>
      <x:c r="AC96" s="38" t="n">
        <x:v>1</x:v>
      </x:c>
      <x:c r="AD96" s="38" t="n">
        <x:v>1</x:v>
      </x:c>
      <x:c r="AE96" s="38" t="n">
        <x:v>0.5</x:v>
      </x:c>
      <x:c r="AF96" s="38" t="n">
        <x:v>1</x:v>
      </x:c>
      <x:c r="AG96" s="38" t="n">
        <x:v>0</x:v>
      </x:c>
      <x:c r="AH96" s="38" t="n">
        <x:v>0</x:v>
      </x:c>
      <x:c r="AI96" s="38" t="n">
        <x:v>1</x:v>
      </x:c>
      <x:c r="AJ96" s="38" t="n">
        <x:v>1</x:v>
      </x:c>
      <x:c r="AK96" s="38" t="n">
        <x:v>0</x:v>
      </x:c>
      <x:c r="AL96" s="38" t="n">
        <x:v>1</x:v>
      </x:c>
      <x:c r="AM96" s="38" t="n">
        <x:v>0.5</x:v>
      </x:c>
      <x:c r="AN96" s="38" t="n">
        <x:v>1</x:v>
      </x:c>
      <x:c r="AO96" s="38" t="n">
        <x:v>0</x:v>
      </x:c>
      <x:c r="AP96" s="38" t="n">
        <x:v>0</x:v>
      </x:c>
      <x:c r="AQ96" s="28" t="str">
        <x:v>深度控制、稀释、删组及保序留出检验支持正关联；少量深度方向措辞不影响主结论。</x:v>
      </x:c>
      <x:c r="AR96" s="28" t="str">
        <x:v>https://raw.githubusercontent.com/ZYDTR/truthinsightbench-dwf-scoring/main/runs/Math_02_compositional_invariants/workspace/output/Result.md</x:v>
      </x:c>
      <x:c r="AS96" s="28" t="str">
        <x:v>待核验；暂不计入</x:v>
      </x:c>
    </x:row>
    <x:row r="97" ht="65" customHeight="1">
      <x:c r="A97" s="14" t="n">
        <x:v>92</x:v>
      </x:c>
      <x:c r="B97" s="14" t="str">
        <x:v>Math_02_compositional_invariants</x:v>
      </x:c>
      <x:c r="C97" s="14" t="str">
        <x:v>F3</x:v>
      </x:c>
      <x:c r="D97" s="28" t="str">
        <x:v>场景仅保留次序而不能数值转移</x:v>
      </x:c>
      <x:c r="E97" s="14" t="str">
        <x:v>G3</x:v>
      </x:c>
      <x:c r="F97" s="14" t="n">
        <x:v>0</x:v>
      </x:c>
      <x:c r="G97" s="36" t="n">
        <x:f>SUMPRODUCT(N97:AP97,$N$4:$AP$4)</x:f>
        <x:v>68.5</x:v>
      </x:c>
      <x:c r="H97" s="36" t="n">
        <x:f>SUMPRODUCT(N97:U97,$N$4:$U$4)</x:f>
        <x:v>32.5</x:v>
      </x:c>
      <x:c r="I97" s="36" t="n">
        <x:f>SUMPRODUCT(V97:Z97,$V$4:$Z$4)</x:f>
        <x:v>12</x:v>
      </x:c>
      <x:c r="J97" s="36" t="n">
        <x:f>SUMPRODUCT(AA97:AE97,$AA$4:$AE$4)</x:f>
        <x:v>13.5</x:v>
      </x:c>
      <x:c r="K97" s="36" t="n">
        <x:f>SUMPRODUCT(AF97:AI97,$AF$4:$AI$4)</x:f>
        <x:v>4</x:v>
      </x:c>
      <x:c r="L97" s="36" t="n">
        <x:f>SUMPRODUCT(AJ97:AK97,$AJ$4:$AK$4)</x:f>
        <x:v>4</x:v>
      </x:c>
      <x:c r="M97" s="36" t="n">
        <x:f>SUMPRODUCT(AL97:AP97,$AL$4:$AP$4)</x:f>
        <x:v>2.5</x:v>
      </x:c>
      <x:c r="N97" s="38" t="n">
        <x:v>0.5</x:v>
      </x:c>
      <x:c r="O97" s="38" t="n">
        <x:v>1</x:v>
      </x:c>
      <x:c r="P97" s="38" t="n">
        <x:v>0.5</x:v>
      </x:c>
      <x:c r="Q97" s="38" t="n">
        <x:v>1</x:v>
      </x:c>
      <x:c r="R97" s="38" t="n">
        <x:v>0.5</x:v>
      </x:c>
      <x:c r="S97" s="38" t="n">
        <x:v>0.5</x:v>
      </x:c>
      <x:c r="T97" s="38" t="n">
        <x:v>1</x:v>
      </x:c>
      <x:c r="U97" s="38" t="n">
        <x:v>1</x:v>
      </x:c>
      <x:c r="V97" s="38" t="n">
        <x:v>1</x:v>
      </x:c>
      <x:c r="W97" s="38" t="n">
        <x:v>0</x:v>
      </x:c>
      <x:c r="X97" s="38" t="n">
        <x:v>1</x:v>
      </x:c>
      <x:c r="Y97" s="38" t="n">
        <x:v>1</x:v>
      </x:c>
      <x:c r="Z97" s="38" t="n">
        <x:v>1</x:v>
      </x:c>
      <x:c r="AA97" s="38" t="n">
        <x:v>1</x:v>
      </x:c>
      <x:c r="AB97" s="38" t="n">
        <x:v>1</x:v>
      </x:c>
      <x:c r="AC97" s="38" t="n">
        <x:v>1</x:v>
      </x:c>
      <x:c r="AD97" s="38" t="n">
        <x:v>1</x:v>
      </x:c>
      <x:c r="AE97" s="38" t="n">
        <x:v>0.5</x:v>
      </x:c>
      <x:c r="AF97" s="38" t="n">
        <x:v>1</x:v>
      </x:c>
      <x:c r="AG97" s="38" t="n">
        <x:v>0</x:v>
      </x:c>
      <x:c r="AH97" s="38" t="n">
        <x:v>0</x:v>
      </x:c>
      <x:c r="AI97" s="38" t="n">
        <x:v>1</x:v>
      </x:c>
      <x:c r="AJ97" s="38" t="n">
        <x:v>1</x:v>
      </x:c>
      <x:c r="AK97" s="38" t="n">
        <x:v>0</x:v>
      </x:c>
      <x:c r="AL97" s="38" t="n">
        <x:v>1</x:v>
      </x:c>
      <x:c r="AM97" s="38" t="n">
        <x:v>0.5</x:v>
      </x:c>
      <x:c r="AN97" s="38" t="n">
        <x:v>1</x:v>
      </x:c>
      <x:c r="AO97" s="38" t="n">
        <x:v>0</x:v>
      </x:c>
      <x:c r="AP97" s="38" t="n">
        <x:v>0</x:v>
      </x:c>
      <x:c r="AQ97" s="28" t="str">
        <x:v>场景排序在多数配对保留，直接转移R²为负；清楚区分序关系与尺度可迁移性。</x:v>
      </x:c>
      <x:c r="AR97" s="28" t="str">
        <x:v>https://raw.githubusercontent.com/ZYDTR/truthinsightbench-dwf-scoring/main/runs/Math_02_compositional_invariants/workspace/output/Result.md</x:v>
      </x:c>
      <x:c r="AS97" s="28" t="str">
        <x:v>待核验；暂不计入</x:v>
      </x:c>
    </x:row>
    <x:row r="98" ht="65" customHeight="1">
      <x:c r="A98" s="14" t="n">
        <x:v>93</x:v>
      </x:c>
      <x:c r="B98" s="14" t="str">
        <x:v>Math_02_compositional_invariants</x:v>
      </x:c>
      <x:c r="C98" s="14" t="str">
        <x:v>F4</x:v>
      </x:c>
      <x:c r="D98" s="28" t="str">
        <x:v>丰富度关联在高协变量段饱和</x:v>
      </x:c>
      <x:c r="E98" s="14" t="str">
        <x:v>G4</x:v>
      </x:c>
      <x:c r="F98" s="14" t="n">
        <x:v>0</x:v>
      </x:c>
      <x:c r="G98" s="36" t="n">
        <x:f>SUMPRODUCT(N98:AP98,$N$4:$AP$4)</x:f>
        <x:v>68.5</x:v>
      </x:c>
      <x:c r="H98" s="36" t="n">
        <x:f>SUMPRODUCT(N98:U98,$N$4:$U$4)</x:f>
        <x:v>32.5</x:v>
      </x:c>
      <x:c r="I98" s="36" t="n">
        <x:f>SUMPRODUCT(V98:Z98,$V$4:$Z$4)</x:f>
        <x:v>12</x:v>
      </x:c>
      <x:c r="J98" s="36" t="n">
        <x:f>SUMPRODUCT(AA98:AE98,$AA$4:$AE$4)</x:f>
        <x:v>13.5</x:v>
      </x:c>
      <x:c r="K98" s="36" t="n">
        <x:f>SUMPRODUCT(AF98:AI98,$AF$4:$AI$4)</x:f>
        <x:v>4</x:v>
      </x:c>
      <x:c r="L98" s="36" t="n">
        <x:f>SUMPRODUCT(AJ98:AK98,$AJ$4:$AK$4)</x:f>
        <x:v>4</x:v>
      </x:c>
      <x:c r="M98" s="36" t="n">
        <x:f>SUMPRODUCT(AL98:AP98,$AL$4:$AP$4)</x:f>
        <x:v>2.5</x:v>
      </x:c>
      <x:c r="N98" s="38" t="n">
        <x:v>0.5</x:v>
      </x:c>
      <x:c r="O98" s="38" t="n">
        <x:v>1</x:v>
      </x:c>
      <x:c r="P98" s="38" t="n">
        <x:v>0.5</x:v>
      </x:c>
      <x:c r="Q98" s="38" t="n">
        <x:v>1</x:v>
      </x:c>
      <x:c r="R98" s="38" t="n">
        <x:v>0.5</x:v>
      </x:c>
      <x:c r="S98" s="38" t="n">
        <x:v>0.5</x:v>
      </x:c>
      <x:c r="T98" s="38" t="n">
        <x:v>1</x:v>
      </x:c>
      <x:c r="U98" s="38" t="n">
        <x:v>1</x:v>
      </x:c>
      <x:c r="V98" s="38" t="n">
        <x:v>1</x:v>
      </x:c>
      <x:c r="W98" s="38" t="n">
        <x:v>0</x:v>
      </x:c>
      <x:c r="X98" s="38" t="n">
        <x:v>1</x:v>
      </x:c>
      <x:c r="Y98" s="38" t="n">
        <x:v>1</x:v>
      </x:c>
      <x:c r="Z98" s="38" t="n">
        <x:v>1</x:v>
      </x:c>
      <x:c r="AA98" s="38" t="n">
        <x:v>1</x:v>
      </x:c>
      <x:c r="AB98" s="38" t="n">
        <x:v>1</x:v>
      </x:c>
      <x:c r="AC98" s="38" t="n">
        <x:v>1</x:v>
      </x:c>
      <x:c r="AD98" s="38" t="n">
        <x:v>1</x:v>
      </x:c>
      <x:c r="AE98" s="38" t="n">
        <x:v>0.5</x:v>
      </x:c>
      <x:c r="AF98" s="38" t="n">
        <x:v>1</x:v>
      </x:c>
      <x:c r="AG98" s="38" t="n">
        <x:v>0</x:v>
      </x:c>
      <x:c r="AH98" s="38" t="n">
        <x:v>0</x:v>
      </x:c>
      <x:c r="AI98" s="38" t="n">
        <x:v>1</x:v>
      </x:c>
      <x:c r="AJ98" s="38" t="n">
        <x:v>1</x:v>
      </x:c>
      <x:c r="AK98" s="38" t="n">
        <x:v>0</x:v>
      </x:c>
      <x:c r="AL98" s="38" t="n">
        <x:v>1</x:v>
      </x:c>
      <x:c r="AM98" s="38" t="n">
        <x:v>0.5</x:v>
      </x:c>
      <x:c r="AN98" s="38" t="n">
        <x:v>1</x:v>
      </x:c>
      <x:c r="AO98" s="38" t="n">
        <x:v>0</x:v>
      </x:c>
      <x:c r="AP98" s="38" t="n">
        <x:v>0</x:v>
      </x:c>
      <x:c r="AQ98" s="28" t="str">
        <x:v>阈值上下相关不同且差异区间不含零；分段模型与完整留出支持局部边界。</x:v>
      </x:c>
      <x:c r="AR98" s="28" t="str">
        <x:v>https://raw.githubusercontent.com/ZYDTR/truthinsightbench-dwf-scoring/main/runs/Math_02_compositional_invariants/workspace/output/Result.md</x:v>
      </x:c>
      <x:c r="AS98" s="28" t="str">
        <x:v>待核验；暂不计入</x:v>
      </x:c>
    </x:row>
    <x:row r="99" ht="65" customHeight="1">
      <x:c r="A99" s="14" t="n">
        <x:v>94</x:v>
      </x:c>
      <x:c r="B99" s="14" t="str">
        <x:v>Math_02_compositional_invariants</x:v>
      </x:c>
      <x:c r="C99" s="14" t="str">
        <x:v>F5</x:v>
      </x:c>
      <x:c r="D99" s="28" t="str">
        <x:v>部分组成相关由零值驱动</x:v>
      </x:c>
      <x:c r="E99" s="14" t="str">
        <x:v>G5</x:v>
      </x:c>
      <x:c r="F99" s="14" t="n">
        <x:v>0</x:v>
      </x:c>
      <x:c r="G99" s="36" t="n">
        <x:f>SUMPRODUCT(N99:AP99,$N$4:$AP$4)</x:f>
        <x:v>67</x:v>
      </x:c>
      <x:c r="H99" s="36" t="n">
        <x:f>SUMPRODUCT(N99:U99,$N$4:$U$4)</x:f>
        <x:v>32.5</x:v>
      </x:c>
      <x:c r="I99" s="36" t="n">
        <x:f>SUMPRODUCT(V99:Z99,$V$4:$Z$4)</x:f>
        <x:v>12</x:v>
      </x:c>
      <x:c r="J99" s="36" t="n">
        <x:f>SUMPRODUCT(AA99:AE99,$AA$4:$AE$4)</x:f>
        <x:v>13.5</x:v>
      </x:c>
      <x:c r="K99" s="36" t="n">
        <x:f>SUMPRODUCT(AF99:AI99,$AF$4:$AI$4)</x:f>
        <x:v>2</x:v>
      </x:c>
      <x:c r="L99" s="36" t="n">
        <x:f>SUMPRODUCT(AJ99:AK99,$AJ$4:$AK$4)</x:f>
        <x:v>4</x:v>
      </x:c>
      <x:c r="M99" s="36" t="n">
        <x:f>SUMPRODUCT(AL99:AP99,$AL$4:$AP$4)</x:f>
        <x:v>3</x:v>
      </x:c>
      <x:c r="N99" s="38" t="n">
        <x:v>0.5</x:v>
      </x:c>
      <x:c r="O99" s="38" t="n">
        <x:v>1</x:v>
      </x:c>
      <x:c r="P99" s="38" t="n">
        <x:v>0.5</x:v>
      </x:c>
      <x:c r="Q99" s="38" t="n">
        <x:v>1</x:v>
      </x:c>
      <x:c r="R99" s="38" t="n">
        <x:v>0.5</x:v>
      </x:c>
      <x:c r="S99" s="38" t="n">
        <x:v>0.5</x:v>
      </x:c>
      <x:c r="T99" s="38" t="n">
        <x:v>1</x:v>
      </x:c>
      <x:c r="U99" s="38" t="n">
        <x:v>1</x:v>
      </x:c>
      <x:c r="V99" s="38" t="n">
        <x:v>1</x:v>
      </x:c>
      <x:c r="W99" s="38" t="n">
        <x:v>0</x:v>
      </x:c>
      <x:c r="X99" s="38" t="n">
        <x:v>1</x:v>
      </x:c>
      <x:c r="Y99" s="38" t="n">
        <x:v>1</x:v>
      </x:c>
      <x:c r="Z99" s="38" t="n">
        <x:v>1</x:v>
      </x:c>
      <x:c r="AA99" s="38" t="n">
        <x:v>1</x:v>
      </x:c>
      <x:c r="AB99" s="38" t="n">
        <x:v>1</x:v>
      </x:c>
      <x:c r="AC99" s="38" t="n">
        <x:v>1</x:v>
      </x:c>
      <x:c r="AD99" s="38" t="n">
        <x:v>1</x:v>
      </x:c>
      <x:c r="AE99" s="38" t="n">
        <x:v>0.5</x:v>
      </x:c>
      <x:c r="AF99" s="38" t="n">
        <x:v>0.5</x:v>
      </x:c>
      <x:c r="AG99" s="38" t="n">
        <x:v>0</x:v>
      </x:c>
      <x:c r="AH99" s="38" t="n">
        <x:v>0</x:v>
      </x:c>
      <x:c r="AI99" s="38" t="n">
        <x:v>0.5</x:v>
      </x:c>
      <x:c r="AJ99" s="38" t="n">
        <x:v>1</x:v>
      </x:c>
      <x:c r="AK99" s="38" t="n">
        <x:v>0</x:v>
      </x:c>
      <x:c r="AL99" s="38" t="n">
        <x:v>0.5</x:v>
      </x:c>
      <x:c r="AM99" s="38" t="n">
        <x:v>0.5</x:v>
      </x:c>
      <x:c r="AN99" s="38" t="n">
        <x:v>1</x:v>
      </x:c>
      <x:c r="AO99" s="38" t="n">
        <x:v>1</x:v>
      </x:c>
      <x:c r="AP99" s="38" t="n">
        <x:v>0</x:v>
      </x:c>
      <x:c r="AQ99" s="28" t="str">
        <x:v>去零后相关显著缩小，对组成约束与零值处理做了实际比较；未外推因果机制。</x:v>
      </x:c>
      <x:c r="AR99" s="28" t="str">
        <x:v>https://raw.githubusercontent.com/ZYDTR/truthinsightbench-dwf-scoring/main/runs/Math_02_compositional_invariants/workspace/output/Result.md</x:v>
      </x:c>
      <x:c r="AS99" s="28" t="str">
        <x:v>待核验；暂不计入</x:v>
      </x:c>
    </x:row>
    <x:row r="100" ht="65" customHeight="1">
      <x:c r="A100" s="14" t="n">
        <x:v>95</x:v>
      </x:c>
      <x:c r="B100" s="14" t="str">
        <x:v>Neuro_02_calcium_response_regions</x:v>
      </x:c>
      <x:c r="C100" s="14" t="str">
        <x:v>F1</x:v>
      </x:c>
      <x:c r="D100" s="28" t="str">
        <x:v>刺激对多响应量的影响相对稳定</x:v>
      </x:c>
      <x:c r="E100" s="14" t="str">
        <x:v>G4</x:v>
      </x:c>
      <x:c r="F100" s="14" t="n">
        <x:v>0</x:v>
      </x:c>
      <x:c r="G100" s="36" t="n">
        <x:f>SUMPRODUCT(N100:AP100,$N$4:$AP$4)</x:f>
        <x:v>57.5</x:v>
      </x:c>
      <x:c r="H100" s="36" t="n">
        <x:f>SUMPRODUCT(N100:U100,$N$4:$U$4)</x:f>
        <x:v>26.5</x:v>
      </x:c>
      <x:c r="I100" s="36" t="n">
        <x:f>SUMPRODUCT(V100:Z100,$V$4:$Z$4)</x:f>
        <x:v>10.5</x:v>
      </x:c>
      <x:c r="J100" s="36" t="n">
        <x:f>SUMPRODUCT(AA100:AE100,$AA$4:$AE$4)</x:f>
        <x:v>12</x:v>
      </x:c>
      <x:c r="K100" s="36" t="n">
        <x:f>SUMPRODUCT(AF100:AI100,$AF$4:$AI$4)</x:f>
        <x:v>2</x:v>
      </x:c>
      <x:c r="L100" s="36" t="n">
        <x:f>SUMPRODUCT(AJ100:AK100,$AJ$4:$AK$4)</x:f>
        <x:v>4</x:v>
      </x:c>
      <x:c r="M100" s="36" t="n">
        <x:f>SUMPRODUCT(AL100:AP100,$AL$4:$AP$4)</x:f>
        <x:v>2.5</x:v>
      </x:c>
      <x:c r="N100" s="38" t="n">
        <x:v>0.5</x:v>
      </x:c>
      <x:c r="O100" s="38" t="n">
        <x:v>0.5</x:v>
      </x:c>
      <x:c r="P100" s="38" t="n">
        <x:v>0.5</x:v>
      </x:c>
      <x:c r="Q100" s="38" t="n">
        <x:v>1</x:v>
      </x:c>
      <x:c r="R100" s="38" t="n">
        <x:v>0.5</x:v>
      </x:c>
      <x:c r="S100" s="38" t="n">
        <x:v>0.5</x:v>
      </x:c>
      <x:c r="T100" s="38" t="n">
        <x:v>0.5</x:v>
      </x:c>
      <x:c r="U100" s="38" t="n">
        <x:v>1</x:v>
      </x:c>
      <x:c r="V100" s="38" t="n">
        <x:v>0.5</x:v>
      </x:c>
      <x:c r="W100" s="38" t="n">
        <x:v>0</x:v>
      </x:c>
      <x:c r="X100" s="38" t="n">
        <x:v>1</x:v>
      </x:c>
      <x:c r="Y100" s="38" t="n">
        <x:v>1</x:v>
      </x:c>
      <x:c r="Z100" s="38" t="n">
        <x:v>1</x:v>
      </x:c>
      <x:c r="AA100" s="38" t="n">
        <x:v>1</x:v>
      </x:c>
      <x:c r="AB100" s="38" t="n">
        <x:v>0.5</x:v>
      </x:c>
      <x:c r="AC100" s="38" t="n">
        <x:v>1</x:v>
      </x:c>
      <x:c r="AD100" s="38" t="n">
        <x:v>1</x:v>
      </x:c>
      <x:c r="AE100" s="38" t="n">
        <x:v>0.5</x:v>
      </x:c>
      <x:c r="AF100" s="38" t="n">
        <x:v>0.5</x:v>
      </x:c>
      <x:c r="AG100" s="38" t="n">
        <x:v>0</x:v>
      </x:c>
      <x:c r="AH100" s="38" t="n">
        <x:v>0</x:v>
      </x:c>
      <x:c r="AI100" s="38" t="n">
        <x:v>0.5</x:v>
      </x:c>
      <x:c r="AJ100" s="38" t="n">
        <x:v>1</x:v>
      </x:c>
      <x:c r="AK100" s="38" t="n">
        <x:v>0</x:v>
      </x:c>
      <x:c r="AL100" s="38" t="n">
        <x:v>1</x:v>
      </x:c>
      <x:c r="AM100" s="38" t="n">
        <x:v>0.5</x:v>
      </x:c>
      <x:c r="AN100" s="38" t="n">
        <x:v>1</x:v>
      </x:c>
      <x:c r="AO100" s="38" t="n">
        <x:v>0</x:v>
      </x:c>
      <x:c r="AP100" s="38" t="n">
        <x:v>0</x:v>
      </x:c>
      <x:c r="AQ100" s="28" t="str">
        <x:v>平衡子集及删batch保持多项方向；细胞嵌套与批次相关使逐细胞显著性不能获满分。</x:v>
      </x:c>
      <x:c r="AR100" s="28" t="str">
        <x:v>https://raw.githubusercontent.com/ZYDTR/truthinsightbench-dwf-scoring/main/runs/Neuro_02_calcium_response_regions/workspace/output/Result.md</x:v>
      </x:c>
      <x:c r="AS100" s="28" t="str">
        <x:v>待核验；暂不计入</x:v>
      </x:c>
    </x:row>
    <x:row r="101" ht="65" customHeight="1">
      <x:c r="A101" s="14" t="n">
        <x:v>96</x:v>
      </x:c>
      <x:c r="B101" s="14" t="str">
        <x:v>Neuro_02_calcium_response_regions</x:v>
      </x:c>
      <x:c r="C101" s="14" t="str">
        <x:v>F2</x:v>
      </x:c>
      <x:c r="D101" s="28" t="str">
        <x:v>区域差异部分独立于条件覆盖</x:v>
      </x:c>
      <x:c r="E101" s="14" t="str">
        <x:v>G2</x:v>
      </x:c>
      <x:c r="F101" s="14" t="n">
        <x:v>0</x:v>
      </x:c>
      <x:c r="G101" s="36" t="n">
        <x:f>SUMPRODUCT(N101:AP101,$N$4:$AP$4)</x:f>
        <x:v>63</x:v>
      </x:c>
      <x:c r="H101" s="36" t="n">
        <x:f>SUMPRODUCT(N101:U101,$N$4:$U$4)</x:f>
        <x:v>30.5</x:v>
      </x:c>
      <x:c r="I101" s="36" t="n">
        <x:f>SUMPRODUCT(V101:Z101,$V$4:$Z$4)</x:f>
        <x:v>10.5</x:v>
      </x:c>
      <x:c r="J101" s="36" t="n">
        <x:f>SUMPRODUCT(AA101:AE101,$AA$4:$AE$4)</x:f>
        <x:v>13.5</x:v>
      </x:c>
      <x:c r="K101" s="36" t="n">
        <x:f>SUMPRODUCT(AF101:AI101,$AF$4:$AI$4)</x:f>
        <x:v>2</x:v>
      </x:c>
      <x:c r="L101" s="36" t="n">
        <x:f>SUMPRODUCT(AJ101:AK101,$AJ$4:$AK$4)</x:f>
        <x:v>4</x:v>
      </x:c>
      <x:c r="M101" s="36" t="n">
        <x:f>SUMPRODUCT(AL101:AP101,$AL$4:$AP$4)</x:f>
        <x:v>2.5</x:v>
      </x:c>
      <x:c r="N101" s="38" t="n">
        <x:v>0.5</x:v>
      </x:c>
      <x:c r="O101" s="38" t="n">
        <x:v>0.5</x:v>
      </x:c>
      <x:c r="P101" s="38" t="n">
        <x:v>0.5</x:v>
      </x:c>
      <x:c r="Q101" s="38" t="n">
        <x:v>1</x:v>
      </x:c>
      <x:c r="R101" s="38" t="n">
        <x:v>0.5</x:v>
      </x:c>
      <x:c r="S101" s="38" t="n">
        <x:v>0.5</x:v>
      </x:c>
      <x:c r="T101" s="38" t="n">
        <x:v>1</x:v>
      </x:c>
      <x:c r="U101" s="38" t="n">
        <x:v>1</x:v>
      </x:c>
      <x:c r="V101" s="38" t="n">
        <x:v>0.5</x:v>
      </x:c>
      <x:c r="W101" s="38" t="n">
        <x:v>0</x:v>
      </x:c>
      <x:c r="X101" s="38" t="n">
        <x:v>1</x:v>
      </x:c>
      <x:c r="Y101" s="38" t="n">
        <x:v>1</x:v>
      </x:c>
      <x:c r="Z101" s="38" t="n">
        <x:v>1</x:v>
      </x:c>
      <x:c r="AA101" s="38" t="n">
        <x:v>1</x:v>
      </x:c>
      <x:c r="AB101" s="38" t="n">
        <x:v>1</x:v>
      </x:c>
      <x:c r="AC101" s="38" t="n">
        <x:v>1</x:v>
      </x:c>
      <x:c r="AD101" s="38" t="n">
        <x:v>1</x:v>
      </x:c>
      <x:c r="AE101" s="38" t="n">
        <x:v>0.5</x:v>
      </x:c>
      <x:c r="AF101" s="38" t="n">
        <x:v>0.5</x:v>
      </x:c>
      <x:c r="AG101" s="38" t="n">
        <x:v>0</x:v>
      </x:c>
      <x:c r="AH101" s="38" t="n">
        <x:v>0</x:v>
      </x:c>
      <x:c r="AI101" s="38" t="n">
        <x:v>0.5</x:v>
      </x:c>
      <x:c r="AJ101" s="38" t="n">
        <x:v>1</x:v>
      </x:c>
      <x:c r="AK101" s="38" t="n">
        <x:v>0</x:v>
      </x:c>
      <x:c r="AL101" s="38" t="n">
        <x:v>1</x:v>
      </x:c>
      <x:c r="AM101" s="38" t="n">
        <x:v>0.5</x:v>
      </x:c>
      <x:c r="AN101" s="38" t="n">
        <x:v>1</x:v>
      </x:c>
      <x:c r="AO101" s="38" t="n">
        <x:v>0</x:v>
      </x:c>
      <x:c r="AP101" s="38" t="n">
        <x:v>0</x:v>
      </x:c>
      <x:c r="AQ101" s="28" t="str">
        <x:v>宽度/频率在平衡及删batch后仍有差别；AUC不稳健与覆盖不足被保留。</x:v>
      </x:c>
      <x:c r="AR101" s="28" t="str">
        <x:v>https://raw.githubusercontent.com/ZYDTR/truthinsightbench-dwf-scoring/main/runs/Neuro_02_calcium_response_regions/workspace/output/Result.md</x:v>
      </x:c>
      <x:c r="AS101" s="28" t="str">
        <x:v>待核验；暂不计入</x:v>
      </x:c>
    </x:row>
    <x:row r="102" ht="65" customHeight="1">
      <x:c r="A102" s="14" t="n">
        <x:v>97</x:v>
      </x:c>
      <x:c r="B102" s="14" t="str">
        <x:v>Neuro_02_calcium_response_regions</x:v>
      </x:c>
      <x:c r="C102" s="14" t="str">
        <x:v>F3</x:v>
      </x:c>
      <x:c r="D102" s="28" t="str">
        <x:v>年龄与批次不可分离</x:v>
      </x:c>
      <x:c r="E102" s="14" t="str">
        <x:v>G1</x:v>
      </x:c>
      <x:c r="F102" s="14" t="n">
        <x:v>0</x:v>
      </x:c>
      <x:c r="G102" s="36" t="n">
        <x:f>SUMPRODUCT(N102:AP102,$N$4:$AP$4)</x:f>
        <x:v>63.5</x:v>
      </x:c>
      <x:c r="H102" s="36" t="n">
        <x:f>SUMPRODUCT(N102:U102,$N$4:$U$4)</x:f>
        <x:v>32.5</x:v>
      </x:c>
      <x:c r="I102" s="36" t="n">
        <x:f>SUMPRODUCT(V102:Z102,$V$4:$Z$4)</x:f>
        <x:v>10.5</x:v>
      </x:c>
      <x:c r="J102" s="36" t="n">
        <x:f>SUMPRODUCT(AA102:AE102,$AA$4:$AE$4)</x:f>
        <x:v>13.5</x:v>
      </x:c>
      <x:c r="K102" s="36" t="n">
        <x:f>SUMPRODUCT(AF102:AI102,$AF$4:$AI$4)</x:f>
        <x:v>0</x:v>
      </x:c>
      <x:c r="L102" s="36" t="n">
        <x:f>SUMPRODUCT(AJ102:AK102,$AJ$4:$AK$4)</x:f>
        <x:v>4</x:v>
      </x:c>
      <x:c r="M102" s="36" t="n">
        <x:f>SUMPRODUCT(AL102:AP102,$AL$4:$AP$4)</x:f>
        <x:v>3</x:v>
      </x:c>
      <x:c r="N102" s="38" t="n">
        <x:v>0.5</x:v>
      </x:c>
      <x:c r="O102" s="38" t="n">
        <x:v>1</x:v>
      </x:c>
      <x:c r="P102" s="38" t="n">
        <x:v>0.5</x:v>
      </x:c>
      <x:c r="Q102" s="38" t="n">
        <x:v>1</x:v>
      </x:c>
      <x:c r="R102" s="38" t="n">
        <x:v>0.5</x:v>
      </x:c>
      <x:c r="S102" s="38" t="n">
        <x:v>0.5</x:v>
      </x:c>
      <x:c r="T102" s="38" t="n">
        <x:v>1</x:v>
      </x:c>
      <x:c r="U102" s="38" t="n">
        <x:v>1</x:v>
      </x:c>
      <x:c r="V102" s="38" t="n">
        <x:v>0.5</x:v>
      </x:c>
      <x:c r="W102" s="38" t="n">
        <x:v>0</x:v>
      </x:c>
      <x:c r="X102" s="38" t="n">
        <x:v>1</x:v>
      </x:c>
      <x:c r="Y102" s="38" t="n">
        <x:v>1</x:v>
      </x:c>
      <x:c r="Z102" s="38" t="n">
        <x:v>1</x:v>
      </x:c>
      <x:c r="AA102" s="38" t="n">
        <x:v>1</x:v>
      </x:c>
      <x:c r="AB102" s="38" t="n">
        <x:v>1</x:v>
      </x:c>
      <x:c r="AC102" s="38" t="n">
        <x:v>1</x:v>
      </x:c>
      <x:c r="AD102" s="38" t="n">
        <x:v>1</x:v>
      </x:c>
      <x:c r="AE102" s="38" t="n">
        <x:v>0.5</x:v>
      </x:c>
      <x:c r="AF102" s="38" t="n">
        <x:v>0</x:v>
      </x:c>
      <x:c r="AG102" s="38" t="n">
        <x:v>0</x:v>
      </x:c>
      <x:c r="AH102" s="38" t="n">
        <x:v>0</x:v>
      </x:c>
      <x:c r="AI102" s="38" t="n">
        <x:v>0</x:v>
      </x:c>
      <x:c r="AJ102" s="38" t="n">
        <x:v>1</x:v>
      </x:c>
      <x:c r="AK102" s="38" t="n">
        <x:v>0</x:v>
      </x:c>
      <x:c r="AL102" s="38" t="n">
        <x:v>0.5</x:v>
      </x:c>
      <x:c r="AM102" s="38" t="n">
        <x:v>0.5</x:v>
      </x:c>
      <x:c r="AN102" s="38" t="n">
        <x:v>1</x:v>
      </x:c>
      <x:c r="AO102" s="38" t="n">
        <x:v>1</x:v>
      </x:c>
      <x:c r="AP102" s="38" t="n">
        <x:v>0</x:v>
      </x:c>
      <x:c r="AQ102" s="28" t="str">
        <x:v>年龄与batch一一对应，设计矩阵秩缺失及VIF支持不可识别性；个别显著批次数量表述不准确。</x:v>
      </x:c>
      <x:c r="AR102" s="28" t="str">
        <x:v>https://raw.githubusercontent.com/ZYDTR/truthinsightbench-dwf-scoring/main/runs/Neuro_02_calcium_response_regions/workspace/output/Result.md</x:v>
      </x:c>
      <x:c r="AS102" s="28" t="str">
        <x:v>待核验；暂不计入</x:v>
      </x:c>
    </x:row>
    <x:row r="103" ht="65" customHeight="1">
      <x:c r="A103" s="14" t="n">
        <x:v>98</x:v>
      </x:c>
      <x:c r="B103" s="14" t="str">
        <x:v>Neuro_02_calcium_response_regions</x:v>
      </x:c>
      <x:c r="C103" s="14" t="str">
        <x:v>F4</x:v>
      </x:c>
      <x:c r="D103" s="28" t="str">
        <x:v>年龄效应不能被普遍推广</x:v>
      </x:c>
      <x:c r="E103" s="14" t="str">
        <x:v>G3</x:v>
      </x:c>
      <x:c r="F103" s="14" t="n">
        <x:v>0</x:v>
      </x:c>
      <x:c r="G103" s="36" t="n">
        <x:f>SUMPRODUCT(N103:AP103,$N$4:$AP$4)</x:f>
        <x:v>63</x:v>
      </x:c>
      <x:c r="H103" s="36" t="n">
        <x:f>SUMPRODUCT(N103:U103,$N$4:$U$4)</x:f>
        <x:v>30.5</x:v>
      </x:c>
      <x:c r="I103" s="36" t="n">
        <x:f>SUMPRODUCT(V103:Z103,$V$4:$Z$4)</x:f>
        <x:v>10.5</x:v>
      </x:c>
      <x:c r="J103" s="36" t="n">
        <x:f>SUMPRODUCT(AA103:AE103,$AA$4:$AE$4)</x:f>
        <x:v>13.5</x:v>
      </x:c>
      <x:c r="K103" s="36" t="n">
        <x:f>SUMPRODUCT(AF103:AI103,$AF$4:$AI$4)</x:f>
        <x:v>2</x:v>
      </x:c>
      <x:c r="L103" s="36" t="n">
        <x:f>SUMPRODUCT(AJ103:AK103,$AJ$4:$AK$4)</x:f>
        <x:v>4</x:v>
      </x:c>
      <x:c r="M103" s="36" t="n">
        <x:f>SUMPRODUCT(AL103:AP103,$AL$4:$AP$4)</x:f>
        <x:v>2.5</x:v>
      </x:c>
      <x:c r="N103" s="38" t="n">
        <x:v>0.5</x:v>
      </x:c>
      <x:c r="O103" s="38" t="n">
        <x:v>0.5</x:v>
      </x:c>
      <x:c r="P103" s="38" t="n">
        <x:v>0.5</x:v>
      </x:c>
      <x:c r="Q103" s="38" t="n">
        <x:v>1</x:v>
      </x:c>
      <x:c r="R103" s="38" t="n">
        <x:v>0.5</x:v>
      </x:c>
      <x:c r="S103" s="38" t="n">
        <x:v>0.5</x:v>
      </x:c>
      <x:c r="T103" s="38" t="n">
        <x:v>1</x:v>
      </x:c>
      <x:c r="U103" s="38" t="n">
        <x:v>1</x:v>
      </x:c>
      <x:c r="V103" s="38" t="n">
        <x:v>0.5</x:v>
      </x:c>
      <x:c r="W103" s="38" t="n">
        <x:v>0</x:v>
      </x:c>
      <x:c r="X103" s="38" t="n">
        <x:v>1</x:v>
      </x:c>
      <x:c r="Y103" s="38" t="n">
        <x:v>1</x:v>
      </x:c>
      <x:c r="Z103" s="38" t="n">
        <x:v>1</x:v>
      </x:c>
      <x:c r="AA103" s="38" t="n">
        <x:v>1</x:v>
      </x:c>
      <x:c r="AB103" s="38" t="n">
        <x:v>1</x:v>
      </x:c>
      <x:c r="AC103" s="38" t="n">
        <x:v>1</x:v>
      </x:c>
      <x:c r="AD103" s="38" t="n">
        <x:v>1</x:v>
      </x:c>
      <x:c r="AE103" s="38" t="n">
        <x:v>0.5</x:v>
      </x:c>
      <x:c r="AF103" s="38" t="n">
        <x:v>0.5</x:v>
      </x:c>
      <x:c r="AG103" s="38" t="n">
        <x:v>0</x:v>
      </x:c>
      <x:c r="AH103" s="38" t="n">
        <x:v>0</x:v>
      </x:c>
      <x:c r="AI103" s="38" t="n">
        <x:v>0.5</x:v>
      </x:c>
      <x:c r="AJ103" s="38" t="n">
        <x:v>1</x:v>
      </x:c>
      <x:c r="AK103" s="38" t="n">
        <x:v>0</x:v>
      </x:c>
      <x:c r="AL103" s="38" t="n">
        <x:v>1</x:v>
      </x:c>
      <x:c r="AM103" s="38" t="n">
        <x:v>0.5</x:v>
      </x:c>
      <x:c r="AN103" s="38" t="n">
        <x:v>1</x:v>
      </x:c>
      <x:c r="AO103" s="38" t="n">
        <x:v>0</x:v>
      </x:c>
      <x:c r="AP103" s="38" t="n">
        <x:v>0</x:v>
      </x:c>
      <x:c r="AQ103" s="28" t="str">
        <x:v>只有部分响应量出现年龄关联，且被批次混杂限制；不将拟合系数解释成独立年龄机制。</x:v>
      </x:c>
      <x:c r="AR103" s="28" t="str">
        <x:v>https://raw.githubusercontent.com/ZYDTR/truthinsightbench-dwf-scoring/main/runs/Neuro_02_calcium_response_regions/workspace/output/Result.md</x:v>
      </x:c>
      <x:c r="AS103" s="28" t="str">
        <x:v>待核验；暂不计入</x:v>
      </x:c>
    </x:row>
    <x:row r="104" ht="65" customHeight="1">
      <x:c r="A104" s="14" t="n">
        <x:v>99</x:v>
      </x:c>
      <x:c r="B104" s="14" t="str">
        <x:v>Neuro_03_spatial_code_stability</x:v>
      </x:c>
      <x:c r="C104" s="14" t="str">
        <x:v>F1</x:v>
      </x:c>
      <x:c r="D104" s="28" t="str">
        <x:v>新环境稳定性在动物级下降</x:v>
      </x:c>
      <x:c r="E104" s="14" t="str">
        <x:v>G1</x:v>
      </x:c>
      <x:c r="F104" s="14" t="n">
        <x:v>0</x:v>
      </x:c>
      <x:c r="G104" s="36" t="n">
        <x:f>SUMPRODUCT(N104:AP104,$N$4:$AP$4)</x:f>
        <x:v>66.5</x:v>
      </x:c>
      <x:c r="H104" s="36" t="n">
        <x:f>SUMPRODUCT(N104:U104,$N$4:$U$4)</x:f>
        <x:v>32.5</x:v>
      </x:c>
      <x:c r="I104" s="36" t="n">
        <x:f>SUMPRODUCT(V104:Z104,$V$4:$Z$4)</x:f>
        <x:v>12</x:v>
      </x:c>
      <x:c r="J104" s="36" t="n">
        <x:f>SUMPRODUCT(AA104:AE104,$AA$4:$AE$4)</x:f>
        <x:v>13.5</x:v>
      </x:c>
      <x:c r="K104" s="36" t="n">
        <x:f>SUMPRODUCT(AF104:AI104,$AF$4:$AI$4)</x:f>
        <x:v>2</x:v>
      </x:c>
      <x:c r="L104" s="36" t="n">
        <x:f>SUMPRODUCT(AJ104:AK104,$AJ$4:$AK$4)</x:f>
        <x:v>4</x:v>
      </x:c>
      <x:c r="M104" s="36" t="n">
        <x:f>SUMPRODUCT(AL104:AP104,$AL$4:$AP$4)</x:f>
        <x:v>2.5</x:v>
      </x:c>
      <x:c r="N104" s="38" t="n">
        <x:v>0.5</x:v>
      </x:c>
      <x:c r="O104" s="38" t="n">
        <x:v>1</x:v>
      </x:c>
      <x:c r="P104" s="38" t="n">
        <x:v>0.5</x:v>
      </x:c>
      <x:c r="Q104" s="38" t="n">
        <x:v>1</x:v>
      </x:c>
      <x:c r="R104" s="38" t="n">
        <x:v>0.5</x:v>
      </x:c>
      <x:c r="S104" s="38" t="n">
        <x:v>0.5</x:v>
      </x:c>
      <x:c r="T104" s="38" t="n">
        <x:v>1</x:v>
      </x:c>
      <x:c r="U104" s="38" t="n">
        <x:v>1</x:v>
      </x:c>
      <x:c r="V104" s="38" t="n">
        <x:v>1</x:v>
      </x:c>
      <x:c r="W104" s="38" t="n">
        <x:v>0</x:v>
      </x:c>
      <x:c r="X104" s="38" t="n">
        <x:v>1</x:v>
      </x:c>
      <x:c r="Y104" s="38" t="n">
        <x:v>1</x:v>
      </x:c>
      <x:c r="Z104" s="38" t="n">
        <x:v>1</x:v>
      </x:c>
      <x:c r="AA104" s="38" t="n">
        <x:v>1</x:v>
      </x:c>
      <x:c r="AB104" s="38" t="n">
        <x:v>1</x:v>
      </x:c>
      <x:c r="AC104" s="38" t="n">
        <x:v>1</x:v>
      </x:c>
      <x:c r="AD104" s="38" t="n">
        <x:v>1</x:v>
      </x:c>
      <x:c r="AE104" s="38" t="n">
        <x:v>0.5</x:v>
      </x:c>
      <x:c r="AF104" s="38" t="n">
        <x:v>0.5</x:v>
      </x:c>
      <x:c r="AG104" s="38" t="n">
        <x:v>0</x:v>
      </x:c>
      <x:c r="AH104" s="38" t="n">
        <x:v>0</x:v>
      </x:c>
      <x:c r="AI104" s="38" t="n">
        <x:v>0.5</x:v>
      </x:c>
      <x:c r="AJ104" s="38" t="n">
        <x:v>1</x:v>
      </x:c>
      <x:c r="AK104" s="38" t="n">
        <x:v>0</x:v>
      </x:c>
      <x:c r="AL104" s="38" t="n">
        <x:v>1</x:v>
      </x:c>
      <x:c r="AM104" s="38" t="n">
        <x:v>0.5</x:v>
      </x:c>
      <x:c r="AN104" s="38" t="n">
        <x:v>1</x:v>
      </x:c>
      <x:c r="AO104" s="38" t="n">
        <x:v>0</x:v>
      </x:c>
      <x:c r="AP104" s="38" t="n">
        <x:v>0</x:v>
      </x:c>
      <x:c r="AQ104" s="28" t="str">
        <x:v>区分单元与动物平均，动物级汇总仍偏负；只有3个对照稳定性动物，范围必须受限。</x:v>
      </x:c>
      <x:c r="AR104" s="28" t="str">
        <x:v>https://raw.githubusercontent.com/ZYDTR/truthinsightbench-dwf-scoring/main/runs/Neuro_03_spatial_code_stability/workspace/output/Result.md</x:v>
      </x:c>
      <x:c r="AS104" s="28" t="str">
        <x:v>待核验；暂不计入</x:v>
      </x:c>
    </x:row>
    <x:row r="105" ht="65" customHeight="1">
      <x:c r="A105" s="14" t="n">
        <x:v>100</x:v>
      </x:c>
      <x:c r="B105" s="14" t="str">
        <x:v>Neuro_03_spatial_code_stability</x:v>
      </x:c>
      <x:c r="C105" s="14" t="str">
        <x:v>F2</x:v>
      </x:c>
      <x:c r="D105" s="28" t="str">
        <x:v>信息量下降在动物级证据较弱</x:v>
      </x:c>
      <x:c r="E105" s="14" t="str">
        <x:v>G2</x:v>
      </x:c>
      <x:c r="F105" s="14" t="n">
        <x:v>0</x:v>
      </x:c>
      <x:c r="G105" s="36" t="n">
        <x:f>SUMPRODUCT(N105:AP105,$N$4:$AP$4)</x:f>
        <x:v>66.5</x:v>
      </x:c>
      <x:c r="H105" s="36" t="n">
        <x:f>SUMPRODUCT(N105:U105,$N$4:$U$4)</x:f>
        <x:v>32.5</x:v>
      </x:c>
      <x:c r="I105" s="36" t="n">
        <x:f>SUMPRODUCT(V105:Z105,$V$4:$Z$4)</x:f>
        <x:v>12</x:v>
      </x:c>
      <x:c r="J105" s="36" t="n">
        <x:f>SUMPRODUCT(AA105:AE105,$AA$4:$AE$4)</x:f>
        <x:v>13.5</x:v>
      </x:c>
      <x:c r="K105" s="36" t="n">
        <x:f>SUMPRODUCT(AF105:AI105,$AF$4:$AI$4)</x:f>
        <x:v>2</x:v>
      </x:c>
      <x:c r="L105" s="36" t="n">
        <x:f>SUMPRODUCT(AJ105:AK105,$AJ$4:$AK$4)</x:f>
        <x:v>4</x:v>
      </x:c>
      <x:c r="M105" s="36" t="n">
        <x:f>SUMPRODUCT(AL105:AP105,$AL$4:$AP$4)</x:f>
        <x:v>2.5</x:v>
      </x:c>
      <x:c r="N105" s="38" t="n">
        <x:v>0.5</x:v>
      </x:c>
      <x:c r="O105" s="38" t="n">
        <x:v>1</x:v>
      </x:c>
      <x:c r="P105" s="38" t="n">
        <x:v>0.5</x:v>
      </x:c>
      <x:c r="Q105" s="38" t="n">
        <x:v>1</x:v>
      </x:c>
      <x:c r="R105" s="38" t="n">
        <x:v>0.5</x:v>
      </x:c>
      <x:c r="S105" s="38" t="n">
        <x:v>0.5</x:v>
      </x:c>
      <x:c r="T105" s="38" t="n">
        <x:v>1</x:v>
      </x:c>
      <x:c r="U105" s="38" t="n">
        <x:v>1</x:v>
      </x:c>
      <x:c r="V105" s="38" t="n">
        <x:v>1</x:v>
      </x:c>
      <x:c r="W105" s="38" t="n">
        <x:v>0</x:v>
      </x:c>
      <x:c r="X105" s="38" t="n">
        <x:v>1</x:v>
      </x:c>
      <x:c r="Y105" s="38" t="n">
        <x:v>1</x:v>
      </x:c>
      <x:c r="Z105" s="38" t="n">
        <x:v>1</x:v>
      </x:c>
      <x:c r="AA105" s="38" t="n">
        <x:v>1</x:v>
      </x:c>
      <x:c r="AB105" s="38" t="n">
        <x:v>1</x:v>
      </x:c>
      <x:c r="AC105" s="38" t="n">
        <x:v>1</x:v>
      </x:c>
      <x:c r="AD105" s="38" t="n">
        <x:v>1</x:v>
      </x:c>
      <x:c r="AE105" s="38" t="n">
        <x:v>0.5</x:v>
      </x:c>
      <x:c r="AF105" s="38" t="n">
        <x:v>0.5</x:v>
      </x:c>
      <x:c r="AG105" s="38" t="n">
        <x:v>0</x:v>
      </x:c>
      <x:c r="AH105" s="38" t="n">
        <x:v>0</x:v>
      </x:c>
      <x:c r="AI105" s="38" t="n">
        <x:v>0.5</x:v>
      </x:c>
      <x:c r="AJ105" s="38" t="n">
        <x:v>1</x:v>
      </x:c>
      <x:c r="AK105" s="38" t="n">
        <x:v>0</x:v>
      </x:c>
      <x:c r="AL105" s="38" t="n">
        <x:v>1</x:v>
      </x:c>
      <x:c r="AM105" s="38" t="n">
        <x:v>0.5</x:v>
      </x:c>
      <x:c r="AN105" s="38" t="n">
        <x:v>1</x:v>
      </x:c>
      <x:c r="AO105" s="38" t="n">
        <x:v>0</x:v>
      </x:c>
      <x:c r="AP105" s="38" t="n">
        <x:v>0</x:v>
      </x:c>
      <x:c r="AQ105" s="28" t="str">
        <x:v>逐单元与动物p值不同，保留动物级约0.074的不确定性而不宣称强显著。</x:v>
      </x:c>
      <x:c r="AR105" s="28" t="str">
        <x:v>https://raw.githubusercontent.com/ZYDTR/truthinsightbench-dwf-scoring/main/runs/Neuro_03_spatial_code_stability/workspace/output/Result.md</x:v>
      </x:c>
      <x:c r="AS105" s="28" t="str">
        <x:v>待核验；暂不计入</x:v>
      </x:c>
    </x:row>
    <x:row r="106" ht="65" customHeight="1">
      <x:c r="A106" s="14" t="n">
        <x:v>101</x:v>
      </x:c>
      <x:c r="B106" s="14" t="str">
        <x:v>Neuro_03_spatial_code_stability</x:v>
      </x:c>
      <x:c r="C106" s="14" t="str">
        <x:v>F3</x:v>
      </x:c>
      <x:c r="D106" s="28" t="str">
        <x:v>规则性不显著不能证明真零效应</x:v>
      </x:c>
      <x:c r="E106" s="14" t="str">
        <x:v>G4</x:v>
      </x:c>
      <x:c r="F106" s="14" t="n">
        <x:v>0</x:v>
      </x:c>
      <x:c r="G106" s="36" t="n">
        <x:f>SUMPRODUCT(N106:AP106,$N$4:$AP$4)</x:f>
        <x:v>46</x:v>
      </x:c>
      <x:c r="H106" s="36" t="n">
        <x:f>SUMPRODUCT(N106:U106,$N$4:$U$4)</x:f>
        <x:v>20.5</x:v>
      </x:c>
      <x:c r="I106" s="36" t="n">
        <x:f>SUMPRODUCT(V106:Z106,$V$4:$Z$4)</x:f>
        <x:v>9</x:v>
      </x:c>
      <x:c r="J106" s="36" t="n">
        <x:f>SUMPRODUCT(AA106:AE106,$AA$4:$AE$4)</x:f>
        <x:v>10.5</x:v>
      </x:c>
      <x:c r="K106" s="36" t="n">
        <x:f>SUMPRODUCT(AF106:AI106,$AF$4:$AI$4)</x:f>
        <x:v>0</x:v>
      </x:c>
      <x:c r="L106" s="36" t="n">
        <x:f>SUMPRODUCT(AJ106:AK106,$AJ$4:$AK$4)</x:f>
        <x:v>4</x:v>
      </x:c>
      <x:c r="M106" s="36" t="n">
        <x:f>SUMPRODUCT(AL106:AP106,$AL$4:$AP$4)</x:f>
        <x:v>2</x:v>
      </x:c>
      <x:c r="N106" s="38" t="n">
        <x:v>0.5</x:v>
      </x:c>
      <x:c r="O106" s="38" t="n">
        <x:v>0.5</x:v>
      </x:c>
      <x:c r="P106" s="38" t="n">
        <x:v>0.5</x:v>
      </x:c>
      <x:c r="Q106" s="38" t="n">
        <x:v>1</x:v>
      </x:c>
      <x:c r="R106" s="38" t="n">
        <x:v>0.5</x:v>
      </x:c>
      <x:c r="S106" s="38" t="n">
        <x:v>0.5</x:v>
      </x:c>
      <x:c r="T106" s="38" t="n">
        <x:v>0</x:v>
      </x:c>
      <x:c r="U106" s="38" t="n">
        <x:v>0.5</x:v>
      </x:c>
      <x:c r="V106" s="38" t="n">
        <x:v>0.5</x:v>
      </x:c>
      <x:c r="W106" s="38" t="n">
        <x:v>0</x:v>
      </x:c>
      <x:c r="X106" s="38" t="n">
        <x:v>1</x:v>
      </x:c>
      <x:c r="Y106" s="38" t="n">
        <x:v>1</x:v>
      </x:c>
      <x:c r="Z106" s="38" t="n">
        <x:v>0.5</x:v>
      </x:c>
      <x:c r="AA106" s="38" t="n">
        <x:v>0.5</x:v>
      </x:c>
      <x:c r="AB106" s="38" t="n">
        <x:v>0.5</x:v>
      </x:c>
      <x:c r="AC106" s="38" t="n">
        <x:v>1</x:v>
      </x:c>
      <x:c r="AD106" s="38" t="n">
        <x:v>1</x:v>
      </x:c>
      <x:c r="AE106" s="38" t="n">
        <x:v>0.5</x:v>
      </x:c>
      <x:c r="AF106" s="38" t="n">
        <x:v>0</x:v>
      </x:c>
      <x:c r="AG106" s="38" t="n">
        <x:v>0</x:v>
      </x:c>
      <x:c r="AH106" s="38" t="n">
        <x:v>0</x:v>
      </x:c>
      <x:c r="AI106" s="38" t="n">
        <x:v>0</x:v>
      </x:c>
      <x:c r="AJ106" s="38" t="n">
        <x:v>1</x:v>
      </x:c>
      <x:c r="AK106" s="38" t="n">
        <x:v>0</x:v>
      </x:c>
      <x:c r="AL106" s="38" t="n">
        <x:v>1</x:v>
      </x:c>
      <x:c r="AM106" s="38" t="n">
        <x:v>0.5</x:v>
      </x:c>
      <x:c r="AN106" s="38" t="n">
        <x:v>0.5</x:v>
      </x:c>
      <x:c r="AO106" s="38" t="n">
        <x:v>0</x:v>
      </x:c>
      <x:c r="AP106" s="38" t="n">
        <x:v>0</x:v>
      </x:c>
      <x:c r="AQ106" s="28" t="str">
        <x:v>把未拒绝写成『真零』缺少等效检验或充分功效，且区间很宽；核心推论不获支持分。</x:v>
      </x:c>
      <x:c r="AR106" s="28" t="str">
        <x:v>https://raw.githubusercontent.com/ZYDTR/truthinsightbench-dwf-scoring/main/runs/Neuro_03_spatial_code_stability/workspace/output/Result.md</x:v>
      </x:c>
      <x:c r="AS106" s="28" t="str">
        <x:v>待核验；暂不计入</x:v>
      </x:c>
    </x:row>
    <x:row r="107" ht="65" customHeight="1">
      <x:c r="A107" s="14" t="n">
        <x:v>102</x:v>
      </x:c>
      <x:c r="B107" s="14" t="str">
        <x:v>Neuro_03_spatial_code_stability</x:v>
      </x:c>
      <x:c r="C107" s="14" t="str">
        <x:v>F4</x:v>
      </x:c>
      <x:c r="D107" s="28" t="str">
        <x:v>部分空间指标显著性受分析单位影响</x:v>
      </x:c>
      <x:c r="E107" s="14" t="str">
        <x:v>G3</x:v>
      </x:c>
      <x:c r="F107" s="14" t="n">
        <x:v>0</x:v>
      </x:c>
      <x:c r="G107" s="36" t="n">
        <x:f>SUMPRODUCT(N107:AP107,$N$4:$AP$4)</x:f>
        <x:v>66.5</x:v>
      </x:c>
      <x:c r="H107" s="36" t="n">
        <x:f>SUMPRODUCT(N107:U107,$N$4:$U$4)</x:f>
        <x:v>32.5</x:v>
      </x:c>
      <x:c r="I107" s="36" t="n">
        <x:f>SUMPRODUCT(V107:Z107,$V$4:$Z$4)</x:f>
        <x:v>12</x:v>
      </x:c>
      <x:c r="J107" s="36" t="n">
        <x:f>SUMPRODUCT(AA107:AE107,$AA$4:$AE$4)</x:f>
        <x:v>13.5</x:v>
      </x:c>
      <x:c r="K107" s="36" t="n">
        <x:f>SUMPRODUCT(AF107:AI107,$AF$4:$AI$4)</x:f>
        <x:v>2</x:v>
      </x:c>
      <x:c r="L107" s="36" t="n">
        <x:f>SUMPRODUCT(AJ107:AK107,$AJ$4:$AK$4)</x:f>
        <x:v>4</x:v>
      </x:c>
      <x:c r="M107" s="36" t="n">
        <x:f>SUMPRODUCT(AL107:AP107,$AL$4:$AP$4)</x:f>
        <x:v>2.5</x:v>
      </x:c>
      <x:c r="N107" s="38" t="n">
        <x:v>0.5</x:v>
      </x:c>
      <x:c r="O107" s="38" t="n">
        <x:v>1</x:v>
      </x:c>
      <x:c r="P107" s="38" t="n">
        <x:v>0.5</x:v>
      </x:c>
      <x:c r="Q107" s="38" t="n">
        <x:v>1</x:v>
      </x:c>
      <x:c r="R107" s="38" t="n">
        <x:v>0.5</x:v>
      </x:c>
      <x:c r="S107" s="38" t="n">
        <x:v>0.5</x:v>
      </x:c>
      <x:c r="T107" s="38" t="n">
        <x:v>1</x:v>
      </x:c>
      <x:c r="U107" s="38" t="n">
        <x:v>1</x:v>
      </x:c>
      <x:c r="V107" s="38" t="n">
        <x:v>1</x:v>
      </x:c>
      <x:c r="W107" s="38" t="n">
        <x:v>0</x:v>
      </x:c>
      <x:c r="X107" s="38" t="n">
        <x:v>1</x:v>
      </x:c>
      <x:c r="Y107" s="38" t="n">
        <x:v>1</x:v>
      </x:c>
      <x:c r="Z107" s="38" t="n">
        <x:v>1</x:v>
      </x:c>
      <x:c r="AA107" s="38" t="n">
        <x:v>1</x:v>
      </x:c>
      <x:c r="AB107" s="38" t="n">
        <x:v>1</x:v>
      </x:c>
      <x:c r="AC107" s="38" t="n">
        <x:v>1</x:v>
      </x:c>
      <x:c r="AD107" s="38" t="n">
        <x:v>1</x:v>
      </x:c>
      <x:c r="AE107" s="38" t="n">
        <x:v>0.5</x:v>
      </x:c>
      <x:c r="AF107" s="38" t="n">
        <x:v>0.5</x:v>
      </x:c>
      <x:c r="AG107" s="38" t="n">
        <x:v>0</x:v>
      </x:c>
      <x:c r="AH107" s="38" t="n">
        <x:v>0</x:v>
      </x:c>
      <x:c r="AI107" s="38" t="n">
        <x:v>0.5</x:v>
      </x:c>
      <x:c r="AJ107" s="38" t="n">
        <x:v>1</x:v>
      </x:c>
      <x:c r="AK107" s="38" t="n">
        <x:v>0</x:v>
      </x:c>
      <x:c r="AL107" s="38" t="n">
        <x:v>1</x:v>
      </x:c>
      <x:c r="AM107" s="38" t="n">
        <x:v>0.5</x:v>
      </x:c>
      <x:c r="AN107" s="38" t="n">
        <x:v>1</x:v>
      </x:c>
      <x:c r="AO107" s="38" t="n">
        <x:v>0</x:v>
      </x:c>
      <x:c r="AP107" s="38" t="n">
        <x:v>0</x:v>
      </x:c>
      <x:c r="AQ107" s="28" t="str">
        <x:v>方向/场内响应在动物层级变弱，体现伪重复风险；原p≈0.056也不应称已显著。</x:v>
      </x:c>
      <x:c r="AR107" s="28" t="str">
        <x:v>https://raw.githubusercontent.com/ZYDTR/truthinsightbench-dwf-scoring/main/runs/Neuro_03_spatial_code_stability/workspace/output/Result.md</x:v>
      </x:c>
      <x:c r="AS107" s="28" t="str">
        <x:v>待核验；暂不计入</x:v>
      </x:c>
    </x:row>
    <x:row r="108" ht="65" customHeight="1">
      <x:c r="A108" s="14" t="n">
        <x:v>103</x:v>
      </x:c>
      <x:c r="B108" s="14" t="str">
        <x:v>Neuro_04_temporal_geometry</x:v>
      </x:c>
      <x:c r="C108" s="14" t="str">
        <x:v>F1</x:v>
      </x:c>
      <x:c r="D108" s="28" t="str">
        <x:v>距离与平均延迟无明显单调关系</x:v>
      </x:c>
      <x:c r="E108" s="14" t="str">
        <x:v>G1</x:v>
      </x:c>
      <x:c r="F108" s="14" t="n">
        <x:v>0</x:v>
      </x:c>
      <x:c r="G108" s="36" t="n">
        <x:f>SUMPRODUCT(N108:AP108,$N$4:$AP$4)</x:f>
        <x:v>66.5</x:v>
      </x:c>
      <x:c r="H108" s="36" t="n">
        <x:f>SUMPRODUCT(N108:U108,$N$4:$U$4)</x:f>
        <x:v>32.5</x:v>
      </x:c>
      <x:c r="I108" s="36" t="n">
        <x:f>SUMPRODUCT(V108:Z108,$V$4:$Z$4)</x:f>
        <x:v>12</x:v>
      </x:c>
      <x:c r="J108" s="36" t="n">
        <x:f>SUMPRODUCT(AA108:AE108,$AA$4:$AE$4)</x:f>
        <x:v>13.5</x:v>
      </x:c>
      <x:c r="K108" s="36" t="n">
        <x:f>SUMPRODUCT(AF108:AI108,$AF$4:$AI$4)</x:f>
        <x:v>2</x:v>
      </x:c>
      <x:c r="L108" s="36" t="n">
        <x:f>SUMPRODUCT(AJ108:AK108,$AJ$4:$AK$4)</x:f>
        <x:v>4</x:v>
      </x:c>
      <x:c r="M108" s="36" t="n">
        <x:f>SUMPRODUCT(AL108:AP108,$AL$4:$AP$4)</x:f>
        <x:v>2.5</x:v>
      </x:c>
      <x:c r="N108" s="38" t="n">
        <x:v>0.5</x:v>
      </x:c>
      <x:c r="O108" s="38" t="n">
        <x:v>1</x:v>
      </x:c>
      <x:c r="P108" s="38" t="n">
        <x:v>0.5</x:v>
      </x:c>
      <x:c r="Q108" s="38" t="n">
        <x:v>1</x:v>
      </x:c>
      <x:c r="R108" s="38" t="n">
        <x:v>0.5</x:v>
      </x:c>
      <x:c r="S108" s="38" t="n">
        <x:v>0.5</x:v>
      </x:c>
      <x:c r="T108" s="38" t="n">
        <x:v>1</x:v>
      </x:c>
      <x:c r="U108" s="38" t="n">
        <x:v>1</x:v>
      </x:c>
      <x:c r="V108" s="38" t="n">
        <x:v>1</x:v>
      </x:c>
      <x:c r="W108" s="38" t="n">
        <x:v>0</x:v>
      </x:c>
      <x:c r="X108" s="38" t="n">
        <x:v>1</x:v>
      </x:c>
      <x:c r="Y108" s="38" t="n">
        <x:v>1</x:v>
      </x:c>
      <x:c r="Z108" s="38" t="n">
        <x:v>1</x:v>
      </x:c>
      <x:c r="AA108" s="38" t="n">
        <x:v>1</x:v>
      </x:c>
      <x:c r="AB108" s="38" t="n">
        <x:v>1</x:v>
      </x:c>
      <x:c r="AC108" s="38" t="n">
        <x:v>1</x:v>
      </x:c>
      <x:c r="AD108" s="38" t="n">
        <x:v>1</x:v>
      </x:c>
      <x:c r="AE108" s="38" t="n">
        <x:v>0.5</x:v>
      </x:c>
      <x:c r="AF108" s="38" t="n">
        <x:v>0.5</x:v>
      </x:c>
      <x:c r="AG108" s="38" t="n">
        <x:v>0</x:v>
      </x:c>
      <x:c r="AH108" s="38" t="n">
        <x:v>0</x:v>
      </x:c>
      <x:c r="AI108" s="38" t="n">
        <x:v>0.5</x:v>
      </x:c>
      <x:c r="AJ108" s="38" t="n">
        <x:v>1</x:v>
      </x:c>
      <x:c r="AK108" s="38" t="n">
        <x:v>0</x:v>
      </x:c>
      <x:c r="AL108" s="38" t="n">
        <x:v>1</x:v>
      </x:c>
      <x:c r="AM108" s="38" t="n">
        <x:v>0.5</x:v>
      </x:c>
      <x:c r="AN108" s="38" t="n">
        <x:v>1</x:v>
      </x:c>
      <x:c r="AO108" s="38" t="n">
        <x:v>0</x:v>
      </x:c>
      <x:c r="AP108" s="38" t="n">
        <x:v>0</x:v>
      </x:c>
      <x:c r="AQ108" s="28" t="str">
        <x:v>41个单位的Pearson、Spearman、置换、区间及删点一致；限定为未支持简单单调关系。</x:v>
      </x:c>
      <x:c r="AR108" s="28" t="str">
        <x:v>https://raw.githubusercontent.com/ZYDTR/truthinsightbench-dwf-scoring/main/runs/Neuro_04_temporal_geometry/workspace/output/Result.md</x:v>
      </x:c>
      <x:c r="AS108" s="28" t="str">
        <x:v>待核验；暂不计入</x:v>
      </x:c>
    </x:row>
    <x:row r="109" ht="65" customHeight="1">
      <x:c r="A109" s="14" t="n">
        <x:v>104</x:v>
      </x:c>
      <x:c r="B109" s="14" t="str">
        <x:v>Neuro_04_temporal_geometry</x:v>
      </x:c>
      <x:c r="C109" s="14" t="str">
        <x:v>F2</x:v>
      </x:c>
      <x:c r="D109" s="28" t="str">
        <x:v>距离与延迟离散度关联很弱</x:v>
      </x:c>
      <x:c r="E109" s="14" t="str">
        <x:v>G2</x:v>
      </x:c>
      <x:c r="F109" s="14" t="n">
        <x:v>0</x:v>
      </x:c>
      <x:c r="G109" s="36" t="n">
        <x:f>SUMPRODUCT(N109:AP109,$N$4:$AP$4)</x:f>
        <x:v>61</x:v>
      </x:c>
      <x:c r="H109" s="36" t="n">
        <x:f>SUMPRODUCT(N109:U109,$N$4:$U$4)</x:f>
        <x:v>28.5</x:v>
      </x:c>
      <x:c r="I109" s="36" t="n">
        <x:f>SUMPRODUCT(V109:Z109,$V$4:$Z$4)</x:f>
        <x:v>12</x:v>
      </x:c>
      <x:c r="J109" s="36" t="n">
        <x:f>SUMPRODUCT(AA109:AE109,$AA$4:$AE$4)</x:f>
        <x:v>12</x:v>
      </x:c>
      <x:c r="K109" s="36" t="n">
        <x:f>SUMPRODUCT(AF109:AI109,$AF$4:$AI$4)</x:f>
        <x:v>2</x:v>
      </x:c>
      <x:c r="L109" s="36" t="n">
        <x:f>SUMPRODUCT(AJ109:AK109,$AJ$4:$AK$4)</x:f>
        <x:v>4</x:v>
      </x:c>
      <x:c r="M109" s="36" t="n">
        <x:f>SUMPRODUCT(AL109:AP109,$AL$4:$AP$4)</x:f>
        <x:v>2.5</x:v>
      </x:c>
      <x:c r="N109" s="38" t="n">
        <x:v>0.5</x:v>
      </x:c>
      <x:c r="O109" s="38" t="n">
        <x:v>1</x:v>
      </x:c>
      <x:c r="P109" s="38" t="n">
        <x:v>0.5</x:v>
      </x:c>
      <x:c r="Q109" s="38" t="n">
        <x:v>1</x:v>
      </x:c>
      <x:c r="R109" s="38" t="n">
        <x:v>0.5</x:v>
      </x:c>
      <x:c r="S109" s="38" t="n">
        <x:v>0.5</x:v>
      </x:c>
      <x:c r="T109" s="38" t="n">
        <x:v>0.5</x:v>
      </x:c>
      <x:c r="U109" s="38" t="n">
        <x:v>1</x:v>
      </x:c>
      <x:c r="V109" s="38" t="n">
        <x:v>1</x:v>
      </x:c>
      <x:c r="W109" s="38" t="n">
        <x:v>0</x:v>
      </x:c>
      <x:c r="X109" s="38" t="n">
        <x:v>1</x:v>
      </x:c>
      <x:c r="Y109" s="38" t="n">
        <x:v>1</x:v>
      </x:c>
      <x:c r="Z109" s="38" t="n">
        <x:v>1</x:v>
      </x:c>
      <x:c r="AA109" s="38" t="n">
        <x:v>1</x:v>
      </x:c>
      <x:c r="AB109" s="38" t="n">
        <x:v>0.5</x:v>
      </x:c>
      <x:c r="AC109" s="38" t="n">
        <x:v>1</x:v>
      </x:c>
      <x:c r="AD109" s="38" t="n">
        <x:v>1</x:v>
      </x:c>
      <x:c r="AE109" s="38" t="n">
        <x:v>0.5</x:v>
      </x:c>
      <x:c r="AF109" s="38" t="n">
        <x:v>0.5</x:v>
      </x:c>
      <x:c r="AG109" s="38" t="n">
        <x:v>0</x:v>
      </x:c>
      <x:c r="AH109" s="38" t="n">
        <x:v>0</x:v>
      </x:c>
      <x:c r="AI109" s="38" t="n">
        <x:v>0.5</x:v>
      </x:c>
      <x:c r="AJ109" s="38" t="n">
        <x:v>1</x:v>
      </x:c>
      <x:c r="AK109" s="38" t="n">
        <x:v>0</x:v>
      </x:c>
      <x:c r="AL109" s="38" t="n">
        <x:v>1</x:v>
      </x:c>
      <x:c r="AM109" s="38" t="n">
        <x:v>0.5</x:v>
      </x:c>
      <x:c r="AN109" s="38" t="n">
        <x:v>1</x:v>
      </x:c>
      <x:c r="AO109" s="38" t="n">
        <x:v>0</x:v>
      </x:c>
      <x:c r="AP109" s="38" t="n">
        <x:v>0</x:v>
      </x:c>
      <x:c r="AQ109" s="28" t="str">
        <x:v>两相关量近零；零方差不自动意味着确定性，个别关于均值可用性的表述与F1矛盾。</x:v>
      </x:c>
      <x:c r="AR109" s="28" t="str">
        <x:v>https://raw.githubusercontent.com/ZYDTR/truthinsightbench-dwf-scoring/main/runs/Neuro_04_temporal_geometry/workspace/output/Result.md</x:v>
      </x:c>
      <x:c r="AS109" s="28" t="str">
        <x:v>待核验；暂不计入</x:v>
      </x:c>
    </x:row>
    <x:row r="110" ht="65" customHeight="1">
      <x:c r="A110" s="14" t="n">
        <x:v>105</x:v>
      </x:c>
      <x:c r="B110" s="14" t="str">
        <x:v>Neuro_04_temporal_geometry</x:v>
      </x:c>
      <x:c r="C110" s="14" t="str">
        <x:v>F3</x:v>
      </x:c>
      <x:c r="D110" s="28" t="str">
        <x:v>事件前后信号有条件差别</x:v>
      </x:c>
      <x:c r="E110" s="14" t="str">
        <x:v>G4</x:v>
      </x:c>
      <x:c r="F110" s="14" t="n">
        <x:v>0</x:v>
      </x:c>
      <x:c r="G110" s="36" t="n">
        <x:f>SUMPRODUCT(N110:AP110,$N$4:$AP$4)</x:f>
        <x:v>55.5</x:v>
      </x:c>
      <x:c r="H110" s="36" t="n">
        <x:f>SUMPRODUCT(N110:U110,$N$4:$U$4)</x:f>
        <x:v>26.5</x:v>
      </x:c>
      <x:c r="I110" s="36" t="n">
        <x:f>SUMPRODUCT(V110:Z110,$V$4:$Z$4)</x:f>
        <x:v>10.5</x:v>
      </x:c>
      <x:c r="J110" s="36" t="n">
        <x:f>SUMPRODUCT(AA110:AE110,$AA$4:$AE$4)</x:f>
        <x:v>12</x:v>
      </x:c>
      <x:c r="K110" s="36" t="n">
        <x:f>SUMPRODUCT(AF110:AI110,$AF$4:$AI$4)</x:f>
        <x:v>0</x:v>
      </x:c>
      <x:c r="L110" s="36" t="n">
        <x:f>SUMPRODUCT(AJ110:AK110,$AJ$4:$AK$4)</x:f>
        <x:v>4</x:v>
      </x:c>
      <x:c r="M110" s="36" t="n">
        <x:f>SUMPRODUCT(AL110:AP110,$AL$4:$AP$4)</x:f>
        <x:v>2.5</x:v>
      </x:c>
      <x:c r="N110" s="38" t="n">
        <x:v>0.5</x:v>
      </x:c>
      <x:c r="O110" s="38" t="n">
        <x:v>0.5</x:v>
      </x:c>
      <x:c r="P110" s="38" t="n">
        <x:v>0.5</x:v>
      </x:c>
      <x:c r="Q110" s="38" t="n">
        <x:v>1</x:v>
      </x:c>
      <x:c r="R110" s="38" t="n">
        <x:v>0.5</x:v>
      </x:c>
      <x:c r="S110" s="38" t="n">
        <x:v>0.5</x:v>
      </x:c>
      <x:c r="T110" s="38" t="n">
        <x:v>0.5</x:v>
      </x:c>
      <x:c r="U110" s="38" t="n">
        <x:v>1</x:v>
      </x:c>
      <x:c r="V110" s="38" t="n">
        <x:v>0.5</x:v>
      </x:c>
      <x:c r="W110" s="38" t="n">
        <x:v>0</x:v>
      </x:c>
      <x:c r="X110" s="38" t="n">
        <x:v>1</x:v>
      </x:c>
      <x:c r="Y110" s="38" t="n">
        <x:v>1</x:v>
      </x:c>
      <x:c r="Z110" s="38" t="n">
        <x:v>1</x:v>
      </x:c>
      <x:c r="AA110" s="38" t="n">
        <x:v>1</x:v>
      </x:c>
      <x:c r="AB110" s="38" t="n">
        <x:v>0.5</x:v>
      </x:c>
      <x:c r="AC110" s="38" t="n">
        <x:v>1</x:v>
      </x:c>
      <x:c r="AD110" s="38" t="n">
        <x:v>1</x:v>
      </x:c>
      <x:c r="AE110" s="38" t="n">
        <x:v>0.5</x:v>
      </x:c>
      <x:c r="AF110" s="38" t="n">
        <x:v>0</x:v>
      </x:c>
      <x:c r="AG110" s="38" t="n">
        <x:v>0</x:v>
      </x:c>
      <x:c r="AH110" s="38" t="n">
        <x:v>0</x:v>
      </x:c>
      <x:c r="AI110" s="38" t="n">
        <x:v>0</x:v>
      </x:c>
      <x:c r="AJ110" s="38" t="n">
        <x:v>1</x:v>
      </x:c>
      <x:c r="AK110" s="38" t="n">
        <x:v>0</x:v>
      </x:c>
      <x:c r="AL110" s="38" t="n">
        <x:v>1</x:v>
      </x:c>
      <x:c r="AM110" s="38" t="n">
        <x:v>0.5</x:v>
      </x:c>
      <x:c r="AN110" s="38" t="n">
        <x:v>1</x:v>
      </x:c>
      <x:c r="AO110" s="38" t="n">
        <x:v>0</x:v>
      </x:c>
      <x:c r="AP110" s="38" t="n">
        <x:v>0</x:v>
      </x:c>
      <x:c r="AQ110" s="28" t="str">
        <x:v>B组二分差异较强而A组较弱；事件嵌套与序列相关未由普通置换充分处理。</x:v>
      </x:c>
      <x:c r="AR110" s="28" t="str">
        <x:v>https://raw.githubusercontent.com/ZYDTR/truthinsightbench-dwf-scoring/main/runs/Neuro_04_temporal_geometry/workspace/output/Result.md</x:v>
      </x:c>
      <x:c r="AS110" s="28" t="str">
        <x:v>待核验；暂不计入</x:v>
      </x:c>
    </x:row>
    <x:row r="111" ht="65" customHeight="1">
      <x:c r="A111" s="14" t="n">
        <x:v>106</x:v>
      </x:c>
      <x:c r="B111" s="14" t="str">
        <x:v>Neuro_04_temporal_geometry</x:v>
      </x:c>
      <x:c r="C111" s="14" t="str">
        <x:v>F4</x:v>
      </x:c>
      <x:c r="D111" s="28" t="str">
        <x:v>两组边际分布未检出显著差异</x:v>
      </x:c>
      <x:c r="E111" s="14" t="str">
        <x:v>G3</x:v>
      </x:c>
      <x:c r="F111" s="14" t="n">
        <x:v>0</x:v>
      </x:c>
      <x:c r="G111" s="36" t="n">
        <x:f>SUMPRODUCT(N111:AP111,$N$4:$AP$4)</x:f>
        <x:v>57</x:v>
      </x:c>
      <x:c r="H111" s="36" t="n">
        <x:f>SUMPRODUCT(N111:U111,$N$4:$U$4)</x:f>
        <x:v>28.5</x:v>
      </x:c>
      <x:c r="I111" s="36" t="n">
        <x:f>SUMPRODUCT(V111:Z111,$V$4:$Z$4)</x:f>
        <x:v>10.5</x:v>
      </x:c>
      <x:c r="J111" s="36" t="n">
        <x:f>SUMPRODUCT(AA111:AE111,$AA$4:$AE$4)</x:f>
        <x:v>12</x:v>
      </x:c>
      <x:c r="K111" s="36" t="n">
        <x:f>SUMPRODUCT(AF111:AI111,$AF$4:$AI$4)</x:f>
        <x:v>0</x:v>
      </x:c>
      <x:c r="L111" s="36" t="n">
        <x:f>SUMPRODUCT(AJ111:AK111,$AJ$4:$AK$4)</x:f>
        <x:v>4</x:v>
      </x:c>
      <x:c r="M111" s="36" t="n">
        <x:f>SUMPRODUCT(AL111:AP111,$AL$4:$AP$4)</x:f>
        <x:v>2</x:v>
      </x:c>
      <x:c r="N111" s="38" t="n">
        <x:v>0.5</x:v>
      </x:c>
      <x:c r="O111" s="38" t="n">
        <x:v>1</x:v>
      </x:c>
      <x:c r="P111" s="38" t="n">
        <x:v>0.5</x:v>
      </x:c>
      <x:c r="Q111" s="38" t="n">
        <x:v>1</x:v>
      </x:c>
      <x:c r="R111" s="38" t="n">
        <x:v>0.5</x:v>
      </x:c>
      <x:c r="S111" s="38" t="n">
        <x:v>0.5</x:v>
      </x:c>
      <x:c r="T111" s="38" t="n">
        <x:v>0.5</x:v>
      </x:c>
      <x:c r="U111" s="38" t="n">
        <x:v>1</x:v>
      </x:c>
      <x:c r="V111" s="38" t="n">
        <x:v>0.5</x:v>
      </x:c>
      <x:c r="W111" s="38" t="n">
        <x:v>0</x:v>
      </x:c>
      <x:c r="X111" s="38" t="n">
        <x:v>1</x:v>
      </x:c>
      <x:c r="Y111" s="38" t="n">
        <x:v>1</x:v>
      </x:c>
      <x:c r="Z111" s="38" t="n">
        <x:v>1</x:v>
      </x:c>
      <x:c r="AA111" s="38" t="n">
        <x:v>1</x:v>
      </x:c>
      <x:c r="AB111" s="38" t="n">
        <x:v>0.5</x:v>
      </x:c>
      <x:c r="AC111" s="38" t="n">
        <x:v>1</x:v>
      </x:c>
      <x:c r="AD111" s="38" t="n">
        <x:v>1</x:v>
      </x:c>
      <x:c r="AE111" s="38" t="n">
        <x:v>0.5</x:v>
      </x:c>
      <x:c r="AF111" s="38" t="n">
        <x:v>0</x:v>
      </x:c>
      <x:c r="AG111" s="38" t="n">
        <x:v>0</x:v>
      </x:c>
      <x:c r="AH111" s="38" t="n">
        <x:v>0</x:v>
      </x:c>
      <x:c r="AI111" s="38" t="n">
        <x:v>0</x:v>
      </x:c>
      <x:c r="AJ111" s="38" t="n">
        <x:v>1</x:v>
      </x:c>
      <x:c r="AK111" s="38" t="n">
        <x:v>0</x:v>
      </x:c>
      <x:c r="AL111" s="38" t="n">
        <x:v>1</x:v>
      </x:c>
      <x:c r="AM111" s="38" t="n">
        <x:v>0.5</x:v>
      </x:c>
      <x:c r="AN111" s="38" t="n">
        <x:v>0.5</x:v>
      </x:c>
      <x:c r="AO111" s="38" t="n">
        <x:v>0</x:v>
      </x:c>
      <x:c r="AP111" s="38" t="n">
        <x:v>0</x:v>
      </x:c>
      <x:c r="AQ111" s="28" t="str">
        <x:v>KS不显著不能构成等效或通用分布不变性，小组样本量仅35。</x:v>
      </x:c>
      <x:c r="AR111" s="28" t="str">
        <x:v>https://raw.githubusercontent.com/ZYDTR/truthinsightbench-dwf-scoring/main/runs/Neuro_04_temporal_geometry/workspace/output/Result.md</x:v>
      </x:c>
      <x:c r="AS111" s="28" t="str">
        <x:v>待核验；暂不计入</x:v>
      </x:c>
    </x:row>
    <x:row r="112" ht="65" customHeight="1">
      <x:c r="A112" s="14" t="n">
        <x:v>107</x:v>
      </x:c>
      <x:c r="B112" s="14" t="str">
        <x:v>Neuro_04_temporal_geometry</x:v>
      </x:c>
      <x:c r="C112" s="14" t="str">
        <x:v>F5</x:v>
      </x:c>
      <x:c r="D112" s="28" t="str">
        <x:v>跨文件只有三个单位可匹配</x:v>
      </x:c>
      <x:c r="E112" s="14" t="str">
        <x:v>G5</x:v>
      </x:c>
      <x:c r="F112" s="14" t="n">
        <x:v>0</x:v>
      </x:c>
      <x:c r="G112" s="36" t="n">
        <x:f>SUMPRODUCT(N112:AP112,$N$4:$AP$4)</x:f>
        <x:v>55</x:v>
      </x:c>
      <x:c r="H112" s="36" t="n">
        <x:f>SUMPRODUCT(N112:U112,$N$4:$U$4)</x:f>
        <x:v>28.5</x:v>
      </x:c>
      <x:c r="I112" s="36" t="n">
        <x:f>SUMPRODUCT(V112:Z112,$V$4:$Z$4)</x:f>
        <x:v>9</x:v>
      </x:c>
      <x:c r="J112" s="36" t="n">
        <x:f>SUMPRODUCT(AA112:AE112,$AA$4:$AE$4)</x:f>
        <x:v>10.5</x:v>
      </x:c>
      <x:c r="K112" s="36" t="n">
        <x:f>SUMPRODUCT(AF112:AI112,$AF$4:$AI$4)</x:f>
        <x:v>0</x:v>
      </x:c>
      <x:c r="L112" s="36" t="n">
        <x:f>SUMPRODUCT(AJ112:AK112,$AJ$4:$AK$4)</x:f>
        <x:v>4</x:v>
      </x:c>
      <x:c r="M112" s="36" t="n">
        <x:f>SUMPRODUCT(AL112:AP112,$AL$4:$AP$4)</x:f>
        <x:v>3</x:v>
      </x:c>
      <x:c r="N112" s="38" t="n">
        <x:v>0.5</x:v>
      </x:c>
      <x:c r="O112" s="38" t="n">
        <x:v>1</x:v>
      </x:c>
      <x:c r="P112" s="38" t="n">
        <x:v>0.5</x:v>
      </x:c>
      <x:c r="Q112" s="38" t="n">
        <x:v>1</x:v>
      </x:c>
      <x:c r="R112" s="38" t="n">
        <x:v>0.5</x:v>
      </x:c>
      <x:c r="S112" s="38" t="n">
        <x:v>0.5</x:v>
      </x:c>
      <x:c r="T112" s="38" t="n">
        <x:v>0.5</x:v>
      </x:c>
      <x:c r="U112" s="38" t="n">
        <x:v>1</x:v>
      </x:c>
      <x:c r="V112" s="38" t="n">
        <x:v>0.5</x:v>
      </x:c>
      <x:c r="W112" s="38" t="n">
        <x:v>0</x:v>
      </x:c>
      <x:c r="X112" s="38" t="n">
        <x:v>0.5</x:v>
      </x:c>
      <x:c r="Y112" s="38" t="n">
        <x:v>1</x:v>
      </x:c>
      <x:c r="Z112" s="38" t="n">
        <x:v>1</x:v>
      </x:c>
      <x:c r="AA112" s="38" t="n">
        <x:v>0.5</x:v>
      </x:c>
      <x:c r="AB112" s="38" t="n">
        <x:v>0.5</x:v>
      </x:c>
      <x:c r="AC112" s="38" t="n">
        <x:v>1</x:v>
      </x:c>
      <x:c r="AD112" s="38" t="n">
        <x:v>1</x:v>
      </x:c>
      <x:c r="AE112" s="38" t="n">
        <x:v>0.5</x:v>
      </x:c>
      <x:c r="AF112" s="38" t="n">
        <x:v>0</x:v>
      </x:c>
      <x:c r="AG112" s="38" t="n">
        <x:v>0</x:v>
      </x:c>
      <x:c r="AH112" s="38" t="n">
        <x:v>0</x:v>
      </x:c>
      <x:c r="AI112" s="38" t="n">
        <x:v>0</x:v>
      </x:c>
      <x:c r="AJ112" s="38" t="n">
        <x:v>1</x:v>
      </x:c>
      <x:c r="AK112" s="38" t="n">
        <x:v>0</x:v>
      </x:c>
      <x:c r="AL112" s="38" t="n">
        <x:v>0.5</x:v>
      </x:c>
      <x:c r="AM112" s="38" t="n">
        <x:v>0.5</x:v>
      </x:c>
      <x:c r="AN112" s="38" t="n">
        <x:v>1</x:v>
      </x:c>
      <x:c r="AO112" s="38" t="n">
        <x:v>1</x:v>
      </x:c>
      <x:c r="AP112" s="38" t="n">
        <x:v>0</x:v>
      </x:c>
      <x:c r="AQ112" s="28" t="str">
        <x:v>重叠不足以稳定外推，但n=3并不意味着相关系数数学上不可计算；保留覆盖边界，扣过强措辞。</x:v>
      </x:c>
      <x:c r="AR112" s="28" t="str">
        <x:v>https://raw.githubusercontent.com/ZYDTR/truthinsightbench-dwf-scoring/main/runs/Neuro_04_temporal_geometry/workspace/output/Result.md</x:v>
      </x:c>
      <x:c r="AS112" s="28" t="str">
        <x:v>待核验；暂不计入</x:v>
      </x:c>
    </x:row>
    <x:row r="113" ht="65" customHeight="1">
      <x:c r="A113" s="14" t="n">
        <x:v>108</x:v>
      </x:c>
      <x:c r="B113" s="14" t="str">
        <x:v>Physics_01_dynamic_nuclear_polarization_echoes</x:v>
      </x:c>
      <x:c r="C113" s="14" t="str">
        <x:v>F1</x:v>
      </x:c>
      <x:c r="D113" s="28" t="str">
        <x:v>EPR整条包络随反转时间衰减</x:v>
      </x:c>
      <x:c r="E113" s="14" t="str">
        <x:v>G1</x:v>
      </x:c>
      <x:c r="F113" s="14" t="n">
        <x:v>0</x:v>
      </x:c>
      <x:c r="G113" s="36" t="n">
        <x:f>SUMPRODUCT(N113:AP113,$N$4:$AP$4)</x:f>
        <x:v>53</x:v>
      </x:c>
      <x:c r="H113" s="36" t="n">
        <x:f>SUMPRODUCT(N113:U113,$N$4:$U$4)</x:f>
        <x:v>30.5</x:v>
      </x:c>
      <x:c r="I113" s="36" t="n">
        <x:f>SUMPRODUCT(V113:Z113,$V$4:$Z$4)</x:f>
        <x:v>7.5</x:v>
      </x:c>
      <x:c r="J113" s="36" t="n">
        <x:f>SUMPRODUCT(AA113:AE113,$AA$4:$AE$4)</x:f>
        <x:v>9</x:v>
      </x:c>
      <x:c r="K113" s="36" t="n">
        <x:f>SUMPRODUCT(AF113:AI113,$AF$4:$AI$4)</x:f>
        <x:v>0</x:v>
      </x:c>
      <x:c r="L113" s="36" t="n">
        <x:f>SUMPRODUCT(AJ113:AK113,$AJ$4:$AK$4)</x:f>
        <x:v>4</x:v>
      </x:c>
      <x:c r="M113" s="36" t="n">
        <x:f>SUMPRODUCT(AL113:AP113,$AL$4:$AP$4)</x:f>
        <x:v>2</x:v>
      </x:c>
      <x:c r="N113" s="38" t="n">
        <x:v>0.5</x:v>
      </x:c>
      <x:c r="O113" s="38" t="n">
        <x:v>1</x:v>
      </x:c>
      <x:c r="P113" s="38" t="n">
        <x:v>0.5</x:v>
      </x:c>
      <x:c r="Q113" s="38" t="n">
        <x:v>0.5</x:v>
      </x:c>
      <x:c r="R113" s="38" t="n">
        <x:v>0.5</x:v>
      </x:c>
      <x:c r="S113" s="38" t="n">
        <x:v>0.5</x:v>
      </x:c>
      <x:c r="T113" s="38" t="n">
        <x:v>1</x:v>
      </x:c>
      <x:c r="U113" s="38" t="n">
        <x:v>1</x:v>
      </x:c>
      <x:c r="V113" s="38" t="n">
        <x:v>0</x:v>
      </x:c>
      <x:c r="W113" s="38" t="n">
        <x:v>0</x:v>
      </x:c>
      <x:c r="X113" s="38" t="n">
        <x:v>0.5</x:v>
      </x:c>
      <x:c r="Y113" s="38" t="n">
        <x:v>1</x:v>
      </x:c>
      <x:c r="Z113" s="38" t="n">
        <x:v>1</x:v>
      </x:c>
      <x:c r="AA113" s="38" t="n">
        <x:v>1</x:v>
      </x:c>
      <x:c r="AB113" s="38" t="n">
        <x:v>0.5</x:v>
      </x:c>
      <x:c r="AC113" s="38" t="n">
        <x:v>0.5</x:v>
      </x:c>
      <x:c r="AD113" s="38" t="n">
        <x:v>0.5</x:v>
      </x:c>
      <x:c r="AE113" s="38" t="n">
        <x:v>0.5</x:v>
      </x:c>
      <x:c r="AF113" s="38" t="n">
        <x:v>0</x:v>
      </x:c>
      <x:c r="AG113" s="38" t="n">
        <x:v>0</x:v>
      </x:c>
      <x:c r="AH113" s="38" t="n">
        <x:v>0</x:v>
      </x:c>
      <x:c r="AI113" s="38" t="n">
        <x:v>0</x:v>
      </x:c>
      <x:c r="AJ113" s="38" t="n">
        <x:v>1</x:v>
      </x:c>
      <x:c r="AK113" s="38" t="n">
        <x:v>0</x:v>
      </x:c>
      <x:c r="AL113" s="38" t="n">
        <x:v>1</x:v>
      </x:c>
      <x:c r="AM113" s="38" t="n">
        <x:v>0.5</x:v>
      </x:c>
      <x:c r="AN113" s="38" t="n">
        <x:v>0.5</x:v>
      </x:c>
      <x:c r="AO113" s="38" t="n">
        <x:v>0</x:v>
      </x:c>
      <x:c r="AP113" s="38" t="n">
        <x:v>0</x:v>
      </x:c>
      <x:c r="AQ113" s="28" t="str">
        <x:v>六个条件的包络幅度下降可描述；不等于定位每条轨迹中2*t_inv处的回波，也没有独立重复误差。</x:v>
      </x:c>
      <x:c r="AR113" s="28" t="str">
        <x:v>https://raw.githubusercontent.com/ZYDTR/truthinsightbench-dwf-scoring/main/runs/Physics_01_dynamic_nuclear_polarization_echoes/workspace/output/Result.md</x:v>
      </x:c>
      <x:c r="AS113" s="28" t="str">
        <x:v>待核验；暂不计入</x:v>
      </x:c>
    </x:row>
    <x:row r="114" ht="65" customHeight="1">
      <x:c r="A114" s="14" t="n">
        <x:v>109</x:v>
      </x:c>
      <x:c r="B114" s="14" t="str">
        <x:v>Physics_01_dynamic_nuclear_polarization_echoes</x:v>
      </x:c>
      <x:c r="C114" s="14" t="str">
        <x:v>F2</x:v>
      </x:c>
      <x:c r="D114" s="28" t="str">
        <x:v>NMR积分对反转时间呈局部非单调</x:v>
      </x:c>
      <x:c r="E114" s="14" t="str">
        <x:v>G2</x:v>
      </x:c>
      <x:c r="F114" s="14" t="n">
        <x:v>0</x:v>
      </x:c>
      <x:c r="G114" s="36" t="n">
        <x:f>SUMPRODUCT(N114:AP114,$N$4:$AP$4)</x:f>
        <x:v>49</x:v>
      </x:c>
      <x:c r="H114" s="36" t="n">
        <x:f>SUMPRODUCT(N114:U114,$N$4:$U$4)</x:f>
        <x:v>26.5</x:v>
      </x:c>
      <x:c r="I114" s="36" t="n">
        <x:f>SUMPRODUCT(V114:Z114,$V$4:$Z$4)</x:f>
        <x:v>7.5</x:v>
      </x:c>
      <x:c r="J114" s="36" t="n">
        <x:f>SUMPRODUCT(AA114:AE114,$AA$4:$AE$4)</x:f>
        <x:v>9</x:v>
      </x:c>
      <x:c r="K114" s="36" t="n">
        <x:f>SUMPRODUCT(AF114:AI114,$AF$4:$AI$4)</x:f>
        <x:v>0</x:v>
      </x:c>
      <x:c r="L114" s="36" t="n">
        <x:f>SUMPRODUCT(AJ114:AK114,$AJ$4:$AK$4)</x:f>
        <x:v>4</x:v>
      </x:c>
      <x:c r="M114" s="36" t="n">
        <x:f>SUMPRODUCT(AL114:AP114,$AL$4:$AP$4)</x:f>
        <x:v>2</x:v>
      </x:c>
      <x:c r="N114" s="38" t="n">
        <x:v>0.5</x:v>
      </x:c>
      <x:c r="O114" s="38" t="n">
        <x:v>1</x:v>
      </x:c>
      <x:c r="P114" s="38" t="n">
        <x:v>0.5</x:v>
      </x:c>
      <x:c r="Q114" s="38" t="n">
        <x:v>0.5</x:v>
      </x:c>
      <x:c r="R114" s="38" t="n">
        <x:v>0.5</x:v>
      </x:c>
      <x:c r="S114" s="38" t="n">
        <x:v>0.5</x:v>
      </x:c>
      <x:c r="T114" s="38" t="n">
        <x:v>0.5</x:v>
      </x:c>
      <x:c r="U114" s="38" t="n">
        <x:v>1</x:v>
      </x:c>
      <x:c r="V114" s="38" t="n">
        <x:v>0</x:v>
      </x:c>
      <x:c r="W114" s="38" t="n">
        <x:v>0</x:v>
      </x:c>
      <x:c r="X114" s="38" t="n">
        <x:v>0.5</x:v>
      </x:c>
      <x:c r="Y114" s="38" t="n">
        <x:v>1</x:v>
      </x:c>
      <x:c r="Z114" s="38" t="n">
        <x:v>1</x:v>
      </x:c>
      <x:c r="AA114" s="38" t="n">
        <x:v>1</x:v>
      </x:c>
      <x:c r="AB114" s="38" t="n">
        <x:v>0.5</x:v>
      </x:c>
      <x:c r="AC114" s="38" t="n">
        <x:v>0.5</x:v>
      </x:c>
      <x:c r="AD114" s="38" t="n">
        <x:v>0.5</x:v>
      </x:c>
      <x:c r="AE114" s="38" t="n">
        <x:v>0.5</x:v>
      </x:c>
      <x:c r="AF114" s="38" t="n">
        <x:v>0</x:v>
      </x:c>
      <x:c r="AG114" s="38" t="n">
        <x:v>0</x:v>
      </x:c>
      <x:c r="AH114" s="38" t="n">
        <x:v>0</x:v>
      </x:c>
      <x:c r="AI114" s="38" t="n">
        <x:v>0</x:v>
      </x:c>
      <x:c r="AJ114" s="38" t="n">
        <x:v>1</x:v>
      </x:c>
      <x:c r="AK114" s="38" t="n">
        <x:v>0</x:v>
      </x:c>
      <x:c r="AL114" s="38" t="n">
        <x:v>1</x:v>
      </x:c>
      <x:c r="AM114" s="38" t="n">
        <x:v>0.5</x:v>
      </x:c>
      <x:c r="AN114" s="38" t="n">
        <x:v>0.5</x:v>
      </x:c>
      <x:c r="AO114" s="38" t="n">
        <x:v>0</x:v>
      </x:c>
      <x:c r="AP114" s="38" t="n">
        <x:v>0</x:v>
      </x:c>
      <x:c r="AQ114" s="28" t="str">
        <x:v>固定相位下440条件峰值可见，但相位一变最优不同；只有六点，无重复不足以称『并非噪声』。</x:v>
      </x:c>
      <x:c r="AR114" s="28" t="str">
        <x:v>https://raw.githubusercontent.com/ZYDTR/truthinsightbench-dwf-scoring/main/runs/Physics_01_dynamic_nuclear_polarization_echoes/workspace/output/Result.md</x:v>
      </x:c>
      <x:c r="AS114" s="28" t="str">
        <x:v>待核验；暂不计入</x:v>
      </x:c>
    </x:row>
    <x:row r="115" ht="65" customHeight="1">
      <x:c r="A115" s="14" t="n">
        <x:v>110</x:v>
      </x:c>
      <x:c r="B115" s="14" t="str">
        <x:v>Physics_01_dynamic_nuclear_polarization_echoes</x:v>
      </x:c>
      <x:c r="C115" s="14" t="str">
        <x:v>F3</x:v>
      </x:c>
      <x:c r="D115" s="28" t="str">
        <x:v>EPR与NMR聚合量反向关联</x:v>
      </x:c>
      <x:c r="E115" s="14" t="str">
        <x:v>G3</x:v>
      </x:c>
      <x:c r="F115" s="14" t="n">
        <x:v>0</x:v>
      </x:c>
      <x:c r="G115" s="36" t="n">
        <x:f>SUMPRODUCT(N115:AP115,$N$4:$AP$4)</x:f>
        <x:v>38.5</x:v>
      </x:c>
      <x:c r="H115" s="36" t="n">
        <x:f>SUMPRODUCT(N115:U115,$N$4:$U$4)</x:f>
        <x:v>20.5</x:v>
      </x:c>
      <x:c r="I115" s="36" t="n">
        <x:f>SUMPRODUCT(V115:Z115,$V$4:$Z$4)</x:f>
        <x:v>4.5</x:v>
      </x:c>
      <x:c r="J115" s="36" t="n">
        <x:f>SUMPRODUCT(AA115:AE115,$AA$4:$AE$4)</x:f>
        <x:v>7.5</x:v>
      </x:c>
      <x:c r="K115" s="36" t="n">
        <x:f>SUMPRODUCT(AF115:AI115,$AF$4:$AI$4)</x:f>
        <x:v>0</x:v>
      </x:c>
      <x:c r="L115" s="36" t="n">
        <x:f>SUMPRODUCT(AJ115:AK115,$AJ$4:$AK$4)</x:f>
        <x:v>4</x:v>
      </x:c>
      <x:c r="M115" s="36" t="n">
        <x:f>SUMPRODUCT(AL115:AP115,$AL$4:$AP$4)</x:f>
        <x:v>2</x:v>
      </x:c>
      <x:c r="N115" s="38" t="n">
        <x:v>0.5</x:v>
      </x:c>
      <x:c r="O115" s="38" t="n">
        <x:v>1</x:v>
      </x:c>
      <x:c r="P115" s="38" t="n">
        <x:v>0.5</x:v>
      </x:c>
      <x:c r="Q115" s="38" t="n">
        <x:v>0.5</x:v>
      </x:c>
      <x:c r="R115" s="38" t="n">
        <x:v>0.5</x:v>
      </x:c>
      <x:c r="S115" s="38" t="n">
        <x:v>0.5</x:v>
      </x:c>
      <x:c r="T115" s="38" t="n">
        <x:v>0</x:v>
      </x:c>
      <x:c r="U115" s="38" t="n">
        <x:v>0.5</x:v>
      </x:c>
      <x:c r="V115" s="38" t="n">
        <x:v>0</x:v>
      </x:c>
      <x:c r="W115" s="38" t="n">
        <x:v>0</x:v>
      </x:c>
      <x:c r="X115" s="38" t="n">
        <x:v>0.5</x:v>
      </x:c>
      <x:c r="Y115" s="38" t="n">
        <x:v>0.5</x:v>
      </x:c>
      <x:c r="Z115" s="38" t="n">
        <x:v>0.5</x:v>
      </x:c>
      <x:c r="AA115" s="38" t="n">
        <x:v>0.5</x:v>
      </x:c>
      <x:c r="AB115" s="38" t="n">
        <x:v>0.5</x:v>
      </x:c>
      <x:c r="AC115" s="38" t="n">
        <x:v>0.5</x:v>
      </x:c>
      <x:c r="AD115" s="38" t="n">
        <x:v>0.5</x:v>
      </x:c>
      <x:c r="AE115" s="38" t="n">
        <x:v>0.5</x:v>
      </x:c>
      <x:c r="AF115" s="38" t="n">
        <x:v>0</x:v>
      </x:c>
      <x:c r="AG115" s="38" t="n">
        <x:v>0</x:v>
      </x:c>
      <x:c r="AH115" s="38" t="n">
        <x:v>0</x:v>
      </x:c>
      <x:c r="AI115" s="38" t="n">
        <x:v>0</x:v>
      </x:c>
      <x:c r="AJ115" s="38" t="n">
        <x:v>1</x:v>
      </x:c>
      <x:c r="AK115" s="38" t="n">
        <x:v>0</x:v>
      </x:c>
      <x:c r="AL115" s="38" t="n">
        <x:v>1</x:v>
      </x:c>
      <x:c r="AM115" s="38" t="n">
        <x:v>0.5</x:v>
      </x:c>
      <x:c r="AN115" s="38" t="n">
        <x:v>0.5</x:v>
      </x:c>
      <x:c r="AO115" s="38" t="n">
        <x:v>0</x:v>
      </x:c>
      <x:c r="AP115" s="38" t="n">
        <x:v>0</x:v>
      </x:c>
      <x:c r="AQ115" s="28" t="str">
        <x:v>仅六个条件r≈−0.78，双侧显著性不足约0.05且共用扫参；不能据此证明普遍耦合或排除噪声。</x:v>
      </x:c>
      <x:c r="AR115" s="28" t="str">
        <x:v>https://raw.githubusercontent.com/ZYDTR/truthinsightbench-dwf-scoring/main/runs/Physics_01_dynamic_nuclear_polarization_echoes/workspace/output/Result.md</x:v>
      </x:c>
      <x:c r="AS115" s="28" t="str">
        <x:v>待核验；暂不计入</x:v>
      </x:c>
    </x:row>
    <x:row r="116" ht="65" customHeight="1">
      <x:c r="A116" s="14" t="n">
        <x:v>111</x:v>
      </x:c>
      <x:c r="B116" s="14" t="str">
        <x:v>Physics_02_multiorbital_transition</x:v>
      </x:c>
      <x:c r="C116" s="14" t="str">
        <x:v>F1</x:v>
      </x:c>
      <x:c r="D116" s="28" t="str">
        <x:v>能隙过阈值具有分支依赖</x:v>
      </x:c>
      <x:c r="E116" s="14" t="str">
        <x:v>G2</x:v>
      </x:c>
      <x:c r="F116" s="14" t="n">
        <x:v>0</x:v>
      </x:c>
      <x:c r="G116" s="36" t="n">
        <x:f>SUMPRODUCT(N116:AP116,$N$4:$AP$4)</x:f>
        <x:v>52.5</x:v>
      </x:c>
      <x:c r="H116" s="36" t="n">
        <x:f>SUMPRODUCT(N116:U116,$N$4:$U$4)</x:f>
        <x:v>26.5</x:v>
      </x:c>
      <x:c r="I116" s="36" t="n">
        <x:f>SUMPRODUCT(V116:Z116,$V$4:$Z$4)</x:f>
        <x:v>9</x:v>
      </x:c>
      <x:c r="J116" s="36" t="n">
        <x:f>SUMPRODUCT(AA116:AE116,$AA$4:$AE$4)</x:f>
        <x:v>11</x:v>
      </x:c>
      <x:c r="K116" s="36" t="n">
        <x:f>SUMPRODUCT(AF116:AI116,$AF$4:$AI$4)</x:f>
        <x:v>0</x:v>
      </x:c>
      <x:c r="L116" s="36" t="n">
        <x:f>SUMPRODUCT(AJ116:AK116,$AJ$4:$AK$4)</x:f>
        <x:v>4</x:v>
      </x:c>
      <x:c r="M116" s="36" t="n">
        <x:f>SUMPRODUCT(AL116:AP116,$AL$4:$AP$4)</x:f>
        <x:v>2</x:v>
      </x:c>
      <x:c r="N116" s="38" t="n">
        <x:v>0.5</x:v>
      </x:c>
      <x:c r="O116" s="38" t="n">
        <x:v>1</x:v>
      </x:c>
      <x:c r="P116" s="38" t="n">
        <x:v>0.5</x:v>
      </x:c>
      <x:c r="Q116" s="38" t="n">
        <x:v>0.5</x:v>
      </x:c>
      <x:c r="R116" s="38" t="n">
        <x:v>0.5</x:v>
      </x:c>
      <x:c r="S116" s="38" t="n">
        <x:v>0.5</x:v>
      </x:c>
      <x:c r="T116" s="38" t="n">
        <x:v>0.5</x:v>
      </x:c>
      <x:c r="U116" s="38" t="n">
        <x:v>1</x:v>
      </x:c>
      <x:c r="V116" s="38" t="n">
        <x:v>0.5</x:v>
      </x:c>
      <x:c r="W116" s="38" t="n">
        <x:v>0</x:v>
      </x:c>
      <x:c r="X116" s="38" t="n">
        <x:v>0.5</x:v>
      </x:c>
      <x:c r="Y116" s="38" t="n">
        <x:v>1</x:v>
      </x:c>
      <x:c r="Z116" s="38" t="n">
        <x:v>1</x:v>
      </x:c>
      <x:c r="AA116" s="38" t="n">
        <x:v>1</x:v>
      </x:c>
      <x:c r="AB116" s="38" t="n">
        <x:v>0.5</x:v>
      </x:c>
      <x:c r="AC116" s="38" t="n">
        <x:v>1</x:v>
      </x:c>
      <x:c r="AD116" s="38" t="n">
        <x:v>0.5</x:v>
      </x:c>
      <x:c r="AE116" s="38" t="n">
        <x:v>0.5</x:v>
      </x:c>
      <x:c r="AF116" s="38" t="n">
        <x:v>0</x:v>
      </x:c>
      <x:c r="AG116" s="38" t="n">
        <x:v>0</x:v>
      </x:c>
      <x:c r="AH116" s="38" t="n">
        <x:v>0</x:v>
      </x:c>
      <x:c r="AI116" s="38" t="n">
        <x:v>0</x:v>
      </x:c>
      <x:c r="AJ116" s="38" t="n">
        <x:v>1</x:v>
      </x:c>
      <x:c r="AK116" s="38" t="n">
        <x:v>0</x:v>
      </x:c>
      <x:c r="AL116" s="38" t="n">
        <x:v>1</x:v>
      </x:c>
      <x:c r="AM116" s="38" t="n">
        <x:v>0.5</x:v>
      </x:c>
      <x:c r="AN116" s="38" t="n">
        <x:v>0.5</x:v>
      </x:c>
      <x:c r="AO116" s="38" t="n">
        <x:v>0</x:v>
      </x:c>
      <x:c r="AP116" s="38" t="n">
        <x:v>0</x:v>
      </x:c>
      <x:c r="AQ116" s="28" t="str">
        <x:v>6/8分支越过阈值，支持有限范围差异；不同分支起点不直接反驳中位曲线的共同起点。</x:v>
      </x:c>
      <x:c r="AR116" s="28" t="str">
        <x:v>https://raw.githubusercontent.com/ZYDTR/truthinsightbench-dwf-scoring/main/runs/Physics_02_multiorbital_transition/workspace/output/Result.md</x:v>
      </x:c>
      <x:c r="AS116" s="28" t="str">
        <x:v>待核验；暂不计入</x:v>
      </x:c>
    </x:row>
    <x:row r="117" ht="65" customHeight="1">
      <x:c r="A117" s="14" t="n">
        <x:v>112</x:v>
      </x:c>
      <x:c r="B117" s="14" t="str">
        <x:v>Physics_02_multiorbital_transition</x:v>
      </x:c>
      <x:c r="C117" s="14" t="str">
        <x:v>F2</x:v>
      </x:c>
      <x:c r="D117" s="28" t="str">
        <x:v>最低纠缠谱简并在有限网格改变</x:v>
      </x:c>
      <x:c r="E117" s="14" t="str">
        <x:v>G4</x:v>
      </x:c>
      <x:c r="F117" s="14" t="n">
        <x:v>0</x:v>
      </x:c>
      <x:c r="G117" s="36" t="n">
        <x:f>SUMPRODUCT(N117:AP117,$N$4:$AP$4)</x:f>
        <x:v>50</x:v>
      </x:c>
      <x:c r="H117" s="36" t="n">
        <x:f>SUMPRODUCT(N117:U117,$N$4:$U$4)</x:f>
        <x:v>30.5</x:v>
      </x:c>
      <x:c r="I117" s="36" t="n">
        <x:f>SUMPRODUCT(V117:Z117,$V$4:$Z$4)</x:f>
        <x:v>6</x:v>
      </x:c>
      <x:c r="J117" s="36" t="n">
        <x:f>SUMPRODUCT(AA117:AE117,$AA$4:$AE$4)</x:f>
        <x:v>7.5</x:v>
      </x:c>
      <x:c r="K117" s="36" t="n">
        <x:f>SUMPRODUCT(AF117:AI117,$AF$4:$AI$4)</x:f>
        <x:v>0</x:v>
      </x:c>
      <x:c r="L117" s="36" t="n">
        <x:f>SUMPRODUCT(AJ117:AK117,$AJ$4:$AK$4)</x:f>
        <x:v>4</x:v>
      </x:c>
      <x:c r="M117" s="36" t="n">
        <x:f>SUMPRODUCT(AL117:AP117,$AL$4:$AP$4)</x:f>
        <x:v>2</x:v>
      </x:c>
      <x:c r="N117" s="38" t="n">
        <x:v>0.5</x:v>
      </x:c>
      <x:c r="O117" s="38" t="n">
        <x:v>1</x:v>
      </x:c>
      <x:c r="P117" s="38" t="n">
        <x:v>0.5</x:v>
      </x:c>
      <x:c r="Q117" s="38" t="n">
        <x:v>0.5</x:v>
      </x:c>
      <x:c r="R117" s="38" t="n">
        <x:v>0.5</x:v>
      </x:c>
      <x:c r="S117" s="38" t="n">
        <x:v>0.5</x:v>
      </x:c>
      <x:c r="T117" s="38" t="n">
        <x:v>1</x:v>
      </x:c>
      <x:c r="U117" s="38" t="n">
        <x:v>1</x:v>
      </x:c>
      <x:c r="V117" s="38" t="n">
        <x:v>0</x:v>
      </x:c>
      <x:c r="W117" s="38" t="n">
        <x:v>0</x:v>
      </x:c>
      <x:c r="X117" s="38" t="n">
        <x:v>0.5</x:v>
      </x:c>
      <x:c r="Y117" s="38" t="n">
        <x:v>0.5</x:v>
      </x:c>
      <x:c r="Z117" s="38" t="n">
        <x:v>1</x:v>
      </x:c>
      <x:c r="AA117" s="38" t="n">
        <x:v>0.5</x:v>
      </x:c>
      <x:c r="AB117" s="38" t="n">
        <x:v>0.5</x:v>
      </x:c>
      <x:c r="AC117" s="38" t="n">
        <x:v>0.5</x:v>
      </x:c>
      <x:c r="AD117" s="38" t="n">
        <x:v>0.5</x:v>
      </x:c>
      <x:c r="AE117" s="38" t="n">
        <x:v>0.5</x:v>
      </x:c>
      <x:c r="AF117" s="38" t="n">
        <x:v>0</x:v>
      </x:c>
      <x:c r="AG117" s="38" t="n">
        <x:v>0</x:v>
      </x:c>
      <x:c r="AH117" s="38" t="n">
        <x:v>0</x:v>
      </x:c>
      <x:c r="AI117" s="38" t="n">
        <x:v>0</x:v>
      </x:c>
      <x:c r="AJ117" s="38" t="n">
        <x:v>1</x:v>
      </x:c>
      <x:c r="AK117" s="38" t="n">
        <x:v>0</x:v>
      </x:c>
      <x:c r="AL117" s="38" t="n">
        <x:v>1</x:v>
      </x:c>
      <x:c r="AM117" s="38" t="n">
        <x:v>0.5</x:v>
      </x:c>
      <x:c r="AN117" s="38" t="n">
        <x:v>0.5</x:v>
      </x:c>
      <x:c r="AO117" s="38" t="n">
        <x:v>0</x:v>
      </x:c>
      <x:c r="AP117" s="38" t="n">
        <x:v>0</x:v>
      </x:c>
      <x:c r="AQ117" s="28" t="str">
        <x:v>最低层级从1到2的变化可描述；不等于全谱多重简并率，更不能独自确认热力学相变。</x:v>
      </x:c>
      <x:c r="AR117" s="28" t="str">
        <x:v>https://raw.githubusercontent.com/ZYDTR/truthinsightbench-dwf-scoring/main/runs/Physics_02_multiorbital_transition/workspace/output/Result.md</x:v>
      </x:c>
      <x:c r="AS117" s="28" t="str">
        <x:v>待核验；暂不计入</x:v>
      </x:c>
    </x:row>
    <x:row r="118" ht="65" customHeight="1">
      <x:c r="A118" s="14" t="n">
        <x:v>113</x:v>
      </x:c>
      <x:c r="B118" s="14" t="str">
        <x:v>Physics_02_multiorbital_transition</x:v>
      </x:c>
      <x:c r="C118" s="14" t="str">
        <x:v>F3</x:v>
      </x:c>
      <x:c r="D118" s="28" t="str">
        <x:v>局域矩增大而电荷波动下降</x:v>
      </x:c>
      <x:c r="E118" s="14" t="str">
        <x:v>G3</x:v>
      </x:c>
      <x:c r="F118" s="14" t="n">
        <x:v>0</x:v>
      </x:c>
      <x:c r="G118" s="36" t="n">
        <x:f>SUMPRODUCT(N118:AP118,$N$4:$AP$4)</x:f>
        <x:v>51.5</x:v>
      </x:c>
      <x:c r="H118" s="36" t="n">
        <x:f>SUMPRODUCT(N118:U118,$N$4:$U$4)</x:f>
        <x:v>30.5</x:v>
      </x:c>
      <x:c r="I118" s="36" t="n">
        <x:f>SUMPRODUCT(V118:Z118,$V$4:$Z$4)</x:f>
        <x:v>6</x:v>
      </x:c>
      <x:c r="J118" s="36" t="n">
        <x:f>SUMPRODUCT(AA118:AE118,$AA$4:$AE$4)</x:f>
        <x:v>9</x:v>
      </x:c>
      <x:c r="K118" s="36" t="n">
        <x:f>SUMPRODUCT(AF118:AI118,$AF$4:$AI$4)</x:f>
        <x:v>0</x:v>
      </x:c>
      <x:c r="L118" s="36" t="n">
        <x:f>SUMPRODUCT(AJ118:AK118,$AJ$4:$AK$4)</x:f>
        <x:v>4</x:v>
      </x:c>
      <x:c r="M118" s="36" t="n">
        <x:f>SUMPRODUCT(AL118:AP118,$AL$4:$AP$4)</x:f>
        <x:v>2</x:v>
      </x:c>
      <x:c r="N118" s="38" t="n">
        <x:v>0.5</x:v>
      </x:c>
      <x:c r="O118" s="38" t="n">
        <x:v>1</x:v>
      </x:c>
      <x:c r="P118" s="38" t="n">
        <x:v>0.5</x:v>
      </x:c>
      <x:c r="Q118" s="38" t="n">
        <x:v>0.5</x:v>
      </x:c>
      <x:c r="R118" s="38" t="n">
        <x:v>0.5</x:v>
      </x:c>
      <x:c r="S118" s="38" t="n">
        <x:v>0.5</x:v>
      </x:c>
      <x:c r="T118" s="38" t="n">
        <x:v>1</x:v>
      </x:c>
      <x:c r="U118" s="38" t="n">
        <x:v>1</x:v>
      </x:c>
      <x:c r="V118" s="38" t="n">
        <x:v>0</x:v>
      </x:c>
      <x:c r="W118" s="38" t="n">
        <x:v>0</x:v>
      </x:c>
      <x:c r="X118" s="38" t="n">
        <x:v>0.5</x:v>
      </x:c>
      <x:c r="Y118" s="38" t="n">
        <x:v>0.5</x:v>
      </x:c>
      <x:c r="Z118" s="38" t="n">
        <x:v>1</x:v>
      </x:c>
      <x:c r="AA118" s="38" t="n">
        <x:v>1</x:v>
      </x:c>
      <x:c r="AB118" s="38" t="n">
        <x:v>0.5</x:v>
      </x:c>
      <x:c r="AC118" s="38" t="n">
        <x:v>0.5</x:v>
      </x:c>
      <x:c r="AD118" s="38" t="n">
        <x:v>0.5</x:v>
      </x:c>
      <x:c r="AE118" s="38" t="n">
        <x:v>0.5</x:v>
      </x:c>
      <x:c r="AF118" s="38" t="n">
        <x:v>0</x:v>
      </x:c>
      <x:c r="AG118" s="38" t="n">
        <x:v>0</x:v>
      </x:c>
      <x:c r="AH118" s="38" t="n">
        <x:v>0</x:v>
      </x:c>
      <x:c r="AI118" s="38" t="n">
        <x:v>0</x:v>
      </x:c>
      <x:c r="AJ118" s="38" t="n">
        <x:v>1</x:v>
      </x:c>
      <x:c r="AK118" s="38" t="n">
        <x:v>0</x:v>
      </x:c>
      <x:c r="AL118" s="38" t="n">
        <x:v>1</x:v>
      </x:c>
      <x:c r="AM118" s="38" t="n">
        <x:v>0.5</x:v>
      </x:c>
      <x:c r="AN118" s="38" t="n">
        <x:v>0.5</x:v>
      </x:c>
      <x:c r="AO118" s="38" t="n">
        <x:v>0</x:v>
      </x:c>
      <x:c r="AP118" s="38" t="n">
        <x:v>0</x:v>
      </x:c>
      <x:c r="AQ118" s="28" t="str">
        <x:v>单调趋势有数据支持；光滑有限网格无法据以排除临界行为。</x:v>
      </x:c>
      <x:c r="AR118" s="28" t="str">
        <x:v>https://raw.githubusercontent.com/ZYDTR/truthinsightbench-dwf-scoring/main/runs/Physics_02_multiorbital_transition/workspace/output/Result.md</x:v>
      </x:c>
      <x:c r="AS118" s="28" t="str">
        <x:v>待核验；暂不计入</x:v>
      </x:c>
    </x:row>
    <x:row r="119" ht="65" customHeight="1">
      <x:c r="A119" s="14" t="n">
        <x:v>114</x:v>
      </x:c>
      <x:c r="B119" s="14" t="str">
        <x:v>Physics_02_multiorbital_transition</x:v>
      </x:c>
      <x:c r="C119" s="14" t="str">
        <x:v>F4</x:v>
      </x:c>
      <x:c r="D119" s="28" t="str">
        <x:v>有限网格相关长度不宜作相区证据</x:v>
      </x:c>
      <x:c r="E119" s="14" t="str">
        <x:v>G1</x:v>
      </x:c>
      <x:c r="F119" s="14" t="n">
        <x:v>0</x:v>
      </x:c>
      <x:c r="G119" s="36" t="n">
        <x:f>SUMPRODUCT(N119:AP119,$N$4:$AP$4)</x:f>
        <x:v>56.5</x:v>
      </x:c>
      <x:c r="H119" s="36" t="n">
        <x:f>SUMPRODUCT(N119:U119,$N$4:$U$4)</x:f>
        <x:v>30.5</x:v>
      </x:c>
      <x:c r="I119" s="36" t="n">
        <x:f>SUMPRODUCT(V119:Z119,$V$4:$Z$4)</x:f>
        <x:v>9</x:v>
      </x:c>
      <x:c r="J119" s="36" t="n">
        <x:f>SUMPRODUCT(AA119:AE119,$AA$4:$AE$4)</x:f>
        <x:v>11</x:v>
      </x:c>
      <x:c r="K119" s="36" t="n">
        <x:f>SUMPRODUCT(AF119:AI119,$AF$4:$AI$4)</x:f>
        <x:v>0</x:v>
      </x:c>
      <x:c r="L119" s="36" t="n">
        <x:f>SUMPRODUCT(AJ119:AK119,$AJ$4:$AK$4)</x:f>
        <x:v>4</x:v>
      </x:c>
      <x:c r="M119" s="36" t="n">
        <x:f>SUMPRODUCT(AL119:AP119,$AL$4:$AP$4)</x:f>
        <x:v>2</x:v>
      </x:c>
      <x:c r="N119" s="38" t="n">
        <x:v>0.5</x:v>
      </x:c>
      <x:c r="O119" s="38" t="n">
        <x:v>1</x:v>
      </x:c>
      <x:c r="P119" s="38" t="n">
        <x:v>0.5</x:v>
      </x:c>
      <x:c r="Q119" s="38" t="n">
        <x:v>0.5</x:v>
      </x:c>
      <x:c r="R119" s="38" t="n">
        <x:v>0.5</x:v>
      </x:c>
      <x:c r="S119" s="38" t="n">
        <x:v>0.5</x:v>
      </x:c>
      <x:c r="T119" s="38" t="n">
        <x:v>1</x:v>
      </x:c>
      <x:c r="U119" s="38" t="n">
        <x:v>1</x:v>
      </x:c>
      <x:c r="V119" s="38" t="n">
        <x:v>0.5</x:v>
      </x:c>
      <x:c r="W119" s="38" t="n">
        <x:v>0</x:v>
      </x:c>
      <x:c r="X119" s="38" t="n">
        <x:v>0.5</x:v>
      </x:c>
      <x:c r="Y119" s="38" t="n">
        <x:v>1</x:v>
      </x:c>
      <x:c r="Z119" s="38" t="n">
        <x:v>1</x:v>
      </x:c>
      <x:c r="AA119" s="38" t="n">
        <x:v>1</x:v>
      </x:c>
      <x:c r="AB119" s="38" t="n">
        <x:v>0.5</x:v>
      </x:c>
      <x:c r="AC119" s="38" t="n">
        <x:v>1</x:v>
      </x:c>
      <x:c r="AD119" s="38" t="n">
        <x:v>0.5</x:v>
      </x:c>
      <x:c r="AE119" s="38" t="n">
        <x:v>0.5</x:v>
      </x:c>
      <x:c r="AF119" s="38" t="n">
        <x:v>0</x:v>
      </x:c>
      <x:c r="AG119" s="38" t="n">
        <x:v>0</x:v>
      </x:c>
      <x:c r="AH119" s="38" t="n">
        <x:v>0</x:v>
      </x:c>
      <x:c r="AI119" s="38" t="n">
        <x:v>0</x:v>
      </x:c>
      <x:c r="AJ119" s="38" t="n">
        <x:v>1</x:v>
      </x:c>
      <x:c r="AK119" s="38" t="n">
        <x:v>0</x:v>
      </x:c>
      <x:c r="AL119" s="38" t="n">
        <x:v>1</x:v>
      </x:c>
      <x:c r="AM119" s="38" t="n">
        <x:v>0.5</x:v>
      </x:c>
      <x:c r="AN119" s="38" t="n">
        <x:v>0.5</x:v>
      </x:c>
      <x:c r="AO119" s="38" t="n">
        <x:v>0</x:v>
      </x:c>
      <x:c r="AP119" s="38" t="n">
        <x:v>0</x:v>
      </x:c>
      <x:c r="AQ119" s="28" t="str">
        <x:v>极少近零逆相关长度及负值伪影支持稳健性警告；没有形成独立相图验证。</x:v>
      </x:c>
      <x:c r="AR119" s="28" t="str">
        <x:v>https://raw.githubusercontent.com/ZYDTR/truthinsightbench-dwf-scoring/main/runs/Physics_02_multiorbital_transition/workspace/output/Result.md</x:v>
      </x:c>
      <x:c r="AS119" s="28" t="str">
        <x:v>待核验；暂不计入</x:v>
      </x:c>
    </x:row>
    <x:row r="120" ht="65" customHeight="1">
      <x:c r="A120" s="14" t="n">
        <x:v>115</x:v>
      </x:c>
      <x:c r="B120" s="14" t="str">
        <x:v>Physics_02_multiorbital_transition</x:v>
      </x:c>
      <x:c r="C120" s="14" t="str">
        <x:v>F5</x:v>
      </x:c>
      <x:c r="D120" s="28" t="str">
        <x:v>外推不一致的主要数值由系数错误造成</x:v>
      </x:c>
      <x:c r="E120" s="14" t="str">
        <x:v>G5</x:v>
      </x:c>
      <x:c r="F120" s="14" t="n">
        <x:v>1</x:v>
      </x:c>
      <x:c r="G120" s="36" t="n">
        <x:f>SUMPRODUCT(N120:AP120,$N$4:$AP$4)</x:f>
        <x:v>25.5</x:v>
      </x:c>
      <x:c r="H120" s="36" t="n">
        <x:f>SUMPRODUCT(N120:U120,$N$4:$U$4)</x:f>
        <x:v>15</x:v>
      </x:c>
      <x:c r="I120" s="36" t="n">
        <x:f>SUMPRODUCT(V120:Z120,$V$4:$Z$4)</x:f>
        <x:v>3</x:v>
      </x:c>
      <x:c r="J120" s="36" t="n">
        <x:f>SUMPRODUCT(AA120:AE120,$AA$4:$AE$4)</x:f>
        <x:v>2.5</x:v>
      </x:c>
      <x:c r="K120" s="36" t="n">
        <x:f>SUMPRODUCT(AF120:AI120,$AF$4:$AI$4)</x:f>
        <x:v>0</x:v>
      </x:c>
      <x:c r="L120" s="36" t="n">
        <x:f>SUMPRODUCT(AJ120:AK120,$AJ$4:$AK$4)</x:f>
        <x:v>4</x:v>
      </x:c>
      <x:c r="M120" s="36" t="n">
        <x:f>SUMPRODUCT(AL120:AP120,$AL$4:$AP$4)</x:f>
        <x:v>1</x:v>
      </x:c>
      <x:c r="N120" s="38" t="n">
        <x:v>0.5</x:v>
      </x:c>
      <x:c r="O120" s="38" t="n">
        <x:v>1</x:v>
      </x:c>
      <x:c r="P120" s="38" t="n">
        <x:v>0.5</x:v>
      </x:c>
      <x:c r="Q120" s="38" t="n">
        <x:v>1</x:v>
      </x:c>
      <x:c r="R120" s="38" t="n">
        <x:v>0</x:v>
      </x:c>
      <x:c r="S120" s="38" t="n">
        <x:v>0</x:v>
      </x:c>
      <x:c r="T120" s="38" t="n">
        <x:v>0</x:v>
      </x:c>
      <x:c r="U120" s="38" t="n">
        <x:v>0.5</x:v>
      </x:c>
      <x:c r="V120" s="38" t="n">
        <x:v>0</x:v>
      </x:c>
      <x:c r="W120" s="38" t="n">
        <x:v>0</x:v>
      </x:c>
      <x:c r="X120" s="38" t="n">
        <x:v>0</x:v>
      </x:c>
      <x:c r="Y120" s="38" t="n">
        <x:v>0.5</x:v>
      </x:c>
      <x:c r="Z120" s="38" t="n">
        <x:v>0.5</x:v>
      </x:c>
      <x:c r="AA120" s="38" t="n">
        <x:v>0.5</x:v>
      </x:c>
      <x:c r="AB120" s="38" t="n">
        <x:v>0</x:v>
      </x:c>
      <x:c r="AC120" s="38" t="n">
        <x:v>0</x:v>
      </x:c>
      <x:c r="AD120" s="38" t="n">
        <x:v>0.5</x:v>
      </x:c>
      <x:c r="AE120" s="38" t="n">
        <x:v>0</x:v>
      </x:c>
      <x:c r="AF120" s="38" t="n">
        <x:v>0</x:v>
      </x:c>
      <x:c r="AG120" s="38" t="n">
        <x:v>0</x:v>
      </x:c>
      <x:c r="AH120" s="38" t="n">
        <x:v>0</x:v>
      </x:c>
      <x:c r="AI120" s="38" t="n">
        <x:v>0</x:v>
      </x:c>
      <x:c r="AJ120" s="38" t="n">
        <x:v>1</x:v>
      </x:c>
      <x:c r="AK120" s="38" t="n">
        <x:v>0</x:v>
      </x:c>
      <x:c r="AL120" s="38" t="n">
        <x:v>0.5</x:v>
      </x:c>
      <x:c r="AM120" s="38" t="n">
        <x:v>0</x:v>
      </x:c>
      <x:c r="AN120" s="38" t="n">
        <x:v>0</x:v>
      </x:c>
      <x:c r="AO120" s="38" t="n">
        <x:v>0.5</x:v>
      </x:c>
      <x:c r="AP120" s="38" t="n">
        <x:v>0</x:v>
      </x:c>
      <x:c r="AQ120" s="28" t="str">
        <x:v>polyfit斜率/截距错置导致错误外推值与残差；核心数值、幅度和解释归零，另按持存确定性错误扣5分。</x:v>
      </x:c>
      <x:c r="AR120" s="28" t="str">
        <x:v>https://raw.githubusercontent.com/ZYDTR/truthinsightbench-dwf-scoring/main/runs/Physics_02_multiorbital_transition/workspace/output/Result.md</x:v>
      </x:c>
      <x:c r="AS120" s="28" t="str">
        <x:v>待核验；暂不计入</x:v>
      </x:c>
    </x:row>
    <x:row r="121" ht="65" customHeight="1">
      <x:c r="A121" s="14" t="n">
        <x:v>116</x:v>
      </x:c>
      <x:c r="B121" s="14" t="str">
        <x:v>Physics_03_controlled_dynamics_forecast</x:v>
      </x:c>
      <x:c r="C121" s="14" t="str">
        <x:v>F1</x:v>
      </x:c>
      <x:c r="D121" s="28" t="str">
        <x:v>主频预测在各扫描上误差较小</x:v>
      </x:c>
      <x:c r="E121" s="14" t="str">
        <x:v>G2</x:v>
      </x:c>
      <x:c r="F121" s="14" t="n">
        <x:v>0</x:v>
      </x:c>
      <x:c r="G121" s="36" t="n">
        <x:f>SUMPRODUCT(N121:AP121,$N$4:$AP$4)</x:f>
        <x:v>51.5</x:v>
      </x:c>
      <x:c r="H121" s="36" t="n">
        <x:f>SUMPRODUCT(N121:U121,$N$4:$U$4)</x:f>
        <x:v>30.5</x:v>
      </x:c>
      <x:c r="I121" s="36" t="n">
        <x:f>SUMPRODUCT(V121:Z121,$V$4:$Z$4)</x:f>
        <x:v>6</x:v>
      </x:c>
      <x:c r="J121" s="36" t="n">
        <x:f>SUMPRODUCT(AA121:AE121,$AA$4:$AE$4)</x:f>
        <x:v>9</x:v>
      </x:c>
      <x:c r="K121" s="36" t="n">
        <x:f>SUMPRODUCT(AF121:AI121,$AF$4:$AI$4)</x:f>
        <x:v>0</x:v>
      </x:c>
      <x:c r="L121" s="36" t="n">
        <x:f>SUMPRODUCT(AJ121:AK121,$AJ$4:$AK$4)</x:f>
        <x:v>4</x:v>
      </x:c>
      <x:c r="M121" s="36" t="n">
        <x:f>SUMPRODUCT(AL121:AP121,$AL$4:$AP$4)</x:f>
        <x:v>2</x:v>
      </x:c>
      <x:c r="N121" s="38" t="n">
        <x:v>0.5</x:v>
      </x:c>
      <x:c r="O121" s="38" t="n">
        <x:v>1</x:v>
      </x:c>
      <x:c r="P121" s="38" t="n">
        <x:v>0.5</x:v>
      </x:c>
      <x:c r="Q121" s="38" t="n">
        <x:v>0.5</x:v>
      </x:c>
      <x:c r="R121" s="38" t="n">
        <x:v>0.5</x:v>
      </x:c>
      <x:c r="S121" s="38" t="n">
        <x:v>0.5</x:v>
      </x:c>
      <x:c r="T121" s="38" t="n">
        <x:v>1</x:v>
      </x:c>
      <x:c r="U121" s="38" t="n">
        <x:v>1</x:v>
      </x:c>
      <x:c r="V121" s="38" t="n">
        <x:v>0</x:v>
      </x:c>
      <x:c r="W121" s="38" t="n">
        <x:v>0</x:v>
      </x:c>
      <x:c r="X121" s="38" t="n">
        <x:v>0.5</x:v>
      </x:c>
      <x:c r="Y121" s="38" t="n">
        <x:v>0.5</x:v>
      </x:c>
      <x:c r="Z121" s="38" t="n">
        <x:v>1</x:v>
      </x:c>
      <x:c r="AA121" s="38" t="n">
        <x:v>1</x:v>
      </x:c>
      <x:c r="AB121" s="38" t="n">
        <x:v>0.5</x:v>
      </x:c>
      <x:c r="AC121" s="38" t="n">
        <x:v>0.5</x:v>
      </x:c>
      <x:c r="AD121" s="38" t="n">
        <x:v>0.5</x:v>
      </x:c>
      <x:c r="AE121" s="38" t="n">
        <x:v>0.5</x:v>
      </x:c>
      <x:c r="AF121" s="38" t="n">
        <x:v>0</x:v>
      </x:c>
      <x:c r="AG121" s="38" t="n">
        <x:v>0</x:v>
      </x:c>
      <x:c r="AH121" s="38" t="n">
        <x:v>0</x:v>
      </x:c>
      <x:c r="AI121" s="38" t="n">
        <x:v>0</x:v>
      </x:c>
      <x:c r="AJ121" s="38" t="n">
        <x:v>1</x:v>
      </x:c>
      <x:c r="AK121" s="38" t="n">
        <x:v>0</x:v>
      </x:c>
      <x:c r="AL121" s="38" t="n">
        <x:v>1</x:v>
      </x:c>
      <x:c r="AM121" s="38" t="n">
        <x:v>0.5</x:v>
      </x:c>
      <x:c r="AN121" s="38" t="n">
        <x:v>0.5</x:v>
      </x:c>
      <x:c r="AO121" s="38" t="n">
        <x:v>0</x:v>
      </x:c>
      <x:c r="AP121" s="38" t="n">
        <x:v>0</x:v>
      </x:c>
      <x:c r="AQ121" s="28" t="str">
        <x:v>三扫描的绝对/相对频率误差列明；FFT分辨率和有效匹配覆盖率限制精度解释。</x:v>
      </x:c>
      <x:c r="AR121" s="28" t="str">
        <x:v>https://raw.githubusercontent.com/ZYDTR/truthinsightbench-dwf-scoring/main/runs/Physics_03_controlled_dynamics_forecast/workspace/output/Result.md</x:v>
      </x:c>
      <x:c r="AS121" s="28" t="str">
        <x:v>待核验；暂不计入</x:v>
      </x:c>
    </x:row>
    <x:row r="122" ht="65" customHeight="1">
      <x:c r="A122" s="14" t="n">
        <x:v>117</x:v>
      </x:c>
      <x:c r="B122" s="14" t="str">
        <x:v>Physics_03_controlled_dynamics_forecast</x:v>
      </x:c>
      <x:c r="C122" s="14" t="str">
        <x:v>F2</x:v>
      </x:c>
      <x:c r="D122" s="28" t="str">
        <x:v>全轨迹预测质量随条件明显下降</x:v>
      </x:c>
      <x:c r="E122" s="14" t="str">
        <x:v>G1</x:v>
      </x:c>
      <x:c r="F122" s="14" t="n">
        <x:v>0</x:v>
      </x:c>
      <x:c r="G122" s="36" t="n">
        <x:f>SUMPRODUCT(N122:AP122,$N$4:$AP$4)</x:f>
        <x:v>56</x:v>
      </x:c>
      <x:c r="H122" s="36" t="n">
        <x:f>SUMPRODUCT(N122:U122,$N$4:$U$4)</x:f>
        <x:v>33</x:v>
      </x:c>
      <x:c r="I122" s="36" t="n">
        <x:f>SUMPRODUCT(V122:Z122,$V$4:$Z$4)</x:f>
        <x:v>6</x:v>
      </x:c>
      <x:c r="J122" s="36" t="n">
        <x:f>SUMPRODUCT(AA122:AE122,$AA$4:$AE$4)</x:f>
        <x:v>9</x:v>
      </x:c>
      <x:c r="K122" s="36" t="n">
        <x:f>SUMPRODUCT(AF122:AI122,$AF$4:$AI$4)</x:f>
        <x:v>2</x:v>
      </x:c>
      <x:c r="L122" s="36" t="n">
        <x:f>SUMPRODUCT(AJ122:AK122,$AJ$4:$AK$4)</x:f>
        <x:v>4</x:v>
      </x:c>
      <x:c r="M122" s="36" t="n">
        <x:f>SUMPRODUCT(AL122:AP122,$AL$4:$AP$4)</x:f>
        <x:v>2</x:v>
      </x:c>
      <x:c r="N122" s="38" t="n">
        <x:v>0.5</x:v>
      </x:c>
      <x:c r="O122" s="38" t="n">
        <x:v>1</x:v>
      </x:c>
      <x:c r="P122" s="38" t="n">
        <x:v>0.5</x:v>
      </x:c>
      <x:c r="Q122" s="38" t="n">
        <x:v>0.5</x:v>
      </x:c>
      <x:c r="R122" s="38" t="n">
        <x:v>0.5</x:v>
      </x:c>
      <x:c r="S122" s="38" t="n">
        <x:v>1</x:v>
      </x:c>
      <x:c r="T122" s="38" t="n">
        <x:v>1</x:v>
      </x:c>
      <x:c r="U122" s="38" t="n">
        <x:v>1</x:v>
      </x:c>
      <x:c r="V122" s="38" t="n">
        <x:v>0</x:v>
      </x:c>
      <x:c r="W122" s="38" t="n">
        <x:v>0</x:v>
      </x:c>
      <x:c r="X122" s="38" t="n">
        <x:v>0.5</x:v>
      </x:c>
      <x:c r="Y122" s="38" t="n">
        <x:v>0.5</x:v>
      </x:c>
      <x:c r="Z122" s="38" t="n">
        <x:v>1</x:v>
      </x:c>
      <x:c r="AA122" s="38" t="n">
        <x:v>1</x:v>
      </x:c>
      <x:c r="AB122" s="38" t="n">
        <x:v>0.5</x:v>
      </x:c>
      <x:c r="AC122" s="38" t="n">
        <x:v>0.5</x:v>
      </x:c>
      <x:c r="AD122" s="38" t="n">
        <x:v>0.5</x:v>
      </x:c>
      <x:c r="AE122" s="38" t="n">
        <x:v>0.5</x:v>
      </x:c>
      <x:c r="AF122" s="38" t="n">
        <x:v>0.5</x:v>
      </x:c>
      <x:c r="AG122" s="38" t="n">
        <x:v>0</x:v>
      </x:c>
      <x:c r="AH122" s="38" t="n">
        <x:v>0</x:v>
      </x:c>
      <x:c r="AI122" s="38" t="n">
        <x:v>0.5</x:v>
      </x:c>
      <x:c r="AJ122" s="38" t="n">
        <x:v>1</x:v>
      </x:c>
      <x:c r="AK122" s="38" t="n">
        <x:v>0</x:v>
      </x:c>
      <x:c r="AL122" s="38" t="n">
        <x:v>1</x:v>
      </x:c>
      <x:c r="AM122" s="38" t="n">
        <x:v>0.5</x:v>
      </x:c>
      <x:c r="AN122" s="38" t="n">
        <x:v>0.5</x:v>
      </x:c>
      <x:c r="AO122" s="38" t="n">
        <x:v>0</x:v>
      </x:c>
      <x:c r="AP122" s="38" t="n">
        <x:v>0</x:v>
      </x:c>
      <x:c r="AQ122" s="28" t="str">
        <x:v>三条相关约0.9595/0.8595/0.6687及归一化误差量化了局部差异；无独立重复或稳健外推。</x:v>
      </x:c>
      <x:c r="AR122" s="28" t="str">
        <x:v>https://raw.githubusercontent.com/ZYDTR/truthinsightbench-dwf-scoring/main/runs/Physics_03_controlled_dynamics_forecast/workspace/output/Result.md</x:v>
      </x:c>
      <x:c r="AS122" s="28" t="str">
        <x:v>待核验；暂不计入</x:v>
      </x:c>
    </x:row>
    <x:row r="123" ht="65" customHeight="1">
      <x:c r="A123" s="14" t="n">
        <x:v>118</x:v>
      </x:c>
      <x:c r="B123" s="14" t="str">
        <x:v>Physics_03_controlled_dynamics_forecast</x:v>
      </x:c>
      <x:c r="C123" s="14" t="str">
        <x:v>F3</x:v>
      </x:c>
      <x:c r="D123" s="28" t="str">
        <x:v>频率近似不保证完整波形准确</x:v>
      </x:c>
      <x:c r="E123" s="14" t="str">
        <x:v>G3</x:v>
      </x:c>
      <x:c r="F123" s="14" t="n">
        <x:v>0</x:v>
      </x:c>
      <x:c r="G123" s="36" t="n">
        <x:f>SUMPRODUCT(N123:AP123,$N$4:$AP$4)</x:f>
        <x:v>44.5</x:v>
      </x:c>
      <x:c r="H123" s="36" t="n">
        <x:f>SUMPRODUCT(N123:U123,$N$4:$U$4)</x:f>
        <x:v>26.5</x:v>
      </x:c>
      <x:c r="I123" s="36" t="n">
        <x:f>SUMPRODUCT(V123:Z123,$V$4:$Z$4)</x:f>
        <x:v>4.5</x:v>
      </x:c>
      <x:c r="J123" s="36" t="n">
        <x:f>SUMPRODUCT(AA123:AE123,$AA$4:$AE$4)</x:f>
        <x:v>7.5</x:v>
      </x:c>
      <x:c r="K123" s="36" t="n">
        <x:f>SUMPRODUCT(AF123:AI123,$AF$4:$AI$4)</x:f>
        <x:v>0</x:v>
      </x:c>
      <x:c r="L123" s="36" t="n">
        <x:f>SUMPRODUCT(AJ123:AK123,$AJ$4:$AK$4)</x:f>
        <x:v>4</x:v>
      </x:c>
      <x:c r="M123" s="36" t="n">
        <x:f>SUMPRODUCT(AL123:AP123,$AL$4:$AP$4)</x:f>
        <x:v>2</x:v>
      </x:c>
      <x:c r="N123" s="38" t="n">
        <x:v>0.5</x:v>
      </x:c>
      <x:c r="O123" s="38" t="n">
        <x:v>1</x:v>
      </x:c>
      <x:c r="P123" s="38" t="n">
        <x:v>0.5</x:v>
      </x:c>
      <x:c r="Q123" s="38" t="n">
        <x:v>0.5</x:v>
      </x:c>
      <x:c r="R123" s="38" t="n">
        <x:v>0.5</x:v>
      </x:c>
      <x:c r="S123" s="38" t="n">
        <x:v>0.5</x:v>
      </x:c>
      <x:c r="T123" s="38" t="n">
        <x:v>0.5</x:v>
      </x:c>
      <x:c r="U123" s="38" t="n">
        <x:v>1</x:v>
      </x:c>
      <x:c r="V123" s="38" t="n">
        <x:v>0</x:v>
      </x:c>
      <x:c r="W123" s="38" t="n">
        <x:v>0</x:v>
      </x:c>
      <x:c r="X123" s="38" t="n">
        <x:v>0.5</x:v>
      </x:c>
      <x:c r="Y123" s="38" t="n">
        <x:v>0.5</x:v>
      </x:c>
      <x:c r="Z123" s="38" t="n">
        <x:v>0.5</x:v>
      </x:c>
      <x:c r="AA123" s="38" t="n">
        <x:v>0.5</x:v>
      </x:c>
      <x:c r="AB123" s="38" t="n">
        <x:v>0.5</x:v>
      </x:c>
      <x:c r="AC123" s="38" t="n">
        <x:v>0.5</x:v>
      </x:c>
      <x:c r="AD123" s="38" t="n">
        <x:v>0.5</x:v>
      </x:c>
      <x:c r="AE123" s="38" t="n">
        <x:v>0.5</x:v>
      </x:c>
      <x:c r="AF123" s="38" t="n">
        <x:v>0</x:v>
      </x:c>
      <x:c r="AG123" s="38" t="n">
        <x:v>0</x:v>
      </x:c>
      <x:c r="AH123" s="38" t="n">
        <x:v>0</x:v>
      </x:c>
      <x:c r="AI123" s="38" t="n">
        <x:v>0</x:v>
      </x:c>
      <x:c r="AJ123" s="38" t="n">
        <x:v>1</x:v>
      </x:c>
      <x:c r="AK123" s="38" t="n">
        <x:v>0</x:v>
      </x:c>
      <x:c r="AL123" s="38" t="n">
        <x:v>1</x:v>
      </x:c>
      <x:c r="AM123" s="38" t="n">
        <x:v>0.5</x:v>
      </x:c>
      <x:c r="AN123" s="38" t="n">
        <x:v>0.5</x:v>
      </x:c>
      <x:c r="AO123" s="38" t="n">
        <x:v>0</x:v>
      </x:c>
      <x:c r="AP123" s="38" t="n">
        <x:v>0</x:v>
      </x:c>
      <x:c r="AQ123" s="28" t="str">
        <x:v>定性区分频率与波形合理，但直接比较不同量纲的MAE和RMSE不能建立大小矛盾。</x:v>
      </x:c>
      <x:c r="AR123" s="28" t="str">
        <x:v>https://raw.githubusercontent.com/ZYDTR/truthinsightbench-dwf-scoring/main/runs/Physics_03_controlled_dynamics_forecast/workspace/output/Result.md</x:v>
      </x:c>
      <x:c r="AS123" s="28" t="str">
        <x:v>待核验；暂不计入</x:v>
      </x:c>
    </x:row>
    <x:row r="124" ht="65" customHeight="1">
      <x:c r="A124" s="14" t="n">
        <x:v>119</x:v>
      </x:c>
      <x:c r="B124" s="14" t="str">
        <x:v>Physics_03_controlled_dynamics_forecast</x:v>
      </x:c>
      <x:c r="C124" s="14" t="str">
        <x:v>F4</x:v>
      </x:c>
      <x:c r="D124" s="28" t="str">
        <x:v>第三条件的频率优势需区分绝对与相对误差</x:v>
      </x:c>
      <x:c r="E124" s="14" t="str">
        <x:v>G3</x:v>
      </x:c>
      <x:c r="F124" s="14" t="n">
        <x:v>0</x:v>
      </x:c>
      <x:c r="G124" s="36" t="n">
        <x:f>SUMPRODUCT(N124:AP124,$N$4:$AP$4)</x:f>
        <x:v>40</x:v>
      </x:c>
      <x:c r="H124" s="36" t="n">
        <x:f>SUMPRODUCT(N124:U124,$N$4:$U$4)</x:f>
        <x:v>22</x:v>
      </x:c>
      <x:c r="I124" s="36" t="n">
        <x:f>SUMPRODUCT(V124:Z124,$V$4:$Z$4)</x:f>
        <x:v>4.5</x:v>
      </x:c>
      <x:c r="J124" s="36" t="n">
        <x:f>SUMPRODUCT(AA124:AE124,$AA$4:$AE$4)</x:f>
        <x:v>7.5</x:v>
      </x:c>
      <x:c r="K124" s="36" t="n">
        <x:f>SUMPRODUCT(AF124:AI124,$AF$4:$AI$4)</x:f>
        <x:v>0</x:v>
      </x:c>
      <x:c r="L124" s="36" t="n">
        <x:f>SUMPRODUCT(AJ124:AK124,$AJ$4:$AK$4)</x:f>
        <x:v>4</x:v>
      </x:c>
      <x:c r="M124" s="36" t="n">
        <x:f>SUMPRODUCT(AL124:AP124,$AL$4:$AP$4)</x:f>
        <x:v>2</x:v>
      </x:c>
      <x:c r="N124" s="38" t="n">
        <x:v>0.5</x:v>
      </x:c>
      <x:c r="O124" s="38" t="n">
        <x:v>1</x:v>
      </x:c>
      <x:c r="P124" s="38" t="n">
        <x:v>0.5</x:v>
      </x:c>
      <x:c r="Q124" s="38" t="n">
        <x:v>0.5</x:v>
      </x:c>
      <x:c r="R124" s="38" t="n">
        <x:v>0.5</x:v>
      </x:c>
      <x:c r="S124" s="38" t="n">
        <x:v>0</x:v>
      </x:c>
      <x:c r="T124" s="38" t="n">
        <x:v>0.5</x:v>
      </x:c>
      <x:c r="U124" s="38" t="n">
        <x:v>0.5</x:v>
      </x:c>
      <x:c r="V124" s="38" t="n">
        <x:v>0</x:v>
      </x:c>
      <x:c r="W124" s="38" t="n">
        <x:v>0</x:v>
      </x:c>
      <x:c r="X124" s="38" t="n">
        <x:v>0.5</x:v>
      </x:c>
      <x:c r="Y124" s="38" t="n">
        <x:v>0.5</x:v>
      </x:c>
      <x:c r="Z124" s="38" t="n">
        <x:v>0.5</x:v>
      </x:c>
      <x:c r="AA124" s="38" t="n">
        <x:v>0.5</x:v>
      </x:c>
      <x:c r="AB124" s="38" t="n">
        <x:v>0.5</x:v>
      </x:c>
      <x:c r="AC124" s="38" t="n">
        <x:v>0.5</x:v>
      </x:c>
      <x:c r="AD124" s="38" t="n">
        <x:v>0.5</x:v>
      </x:c>
      <x:c r="AE124" s="38" t="n">
        <x:v>0.5</x:v>
      </x:c>
      <x:c r="AF124" s="38" t="n">
        <x:v>0</x:v>
      </x:c>
      <x:c r="AG124" s="38" t="n">
        <x:v>0</x:v>
      </x:c>
      <x:c r="AH124" s="38" t="n">
        <x:v>0</x:v>
      </x:c>
      <x:c r="AI124" s="38" t="n">
        <x:v>0</x:v>
      </x:c>
      <x:c r="AJ124" s="38" t="n">
        <x:v>1</x:v>
      </x:c>
      <x:c r="AK124" s="38" t="n">
        <x:v>0</x:v>
      </x:c>
      <x:c r="AL124" s="38" t="n">
        <x:v>1</x:v>
      </x:c>
      <x:c r="AM124" s="38" t="n">
        <x:v>0.5</x:v>
      </x:c>
      <x:c r="AN124" s="38" t="n">
        <x:v>0.5</x:v>
      </x:c>
      <x:c r="AO124" s="38" t="n">
        <x:v>0</x:v>
      </x:c>
      <x:c r="AP124" s="38" t="n">
        <x:v>0</x:v>
      </x:c>
      <x:c r="AQ124" s="28" t="str">
        <x:v>第三条件绝对MAE最小，但相对误差0.00491大于第一条件0.00305；过强『最准确』解释降分，与F3同属跨指标解离。</x:v>
      </x:c>
      <x:c r="AR124" s="28" t="str">
        <x:v>https://raw.githubusercontent.com/ZYDTR/truthinsightbench-dwf-scoring/main/runs/Physics_03_controlled_dynamics_forecast/workspace/output/Result.md</x:v>
      </x:c>
      <x:c r="AS124" s="28" t="str">
        <x:v>待核验；暂不计入</x:v>
      </x:c>
    </x:row>
    <x:row r="125" ht="65" customHeight="1">
      <x:c r="A125" s="14" t="n">
        <x:v>120</x:v>
      </x:c>
      <x:c r="B125" s="14" t="str">
        <x:v>Physics_04_temporal_delay_transition</x:v>
      </x:c>
      <x:c r="C125" s="14" t="str">
        <x:v>F1</x:v>
      </x:c>
      <x:c r="D125" s="28" t="str">
        <x:v>分段转变的核心变量映射未成立</x:v>
      </x:c>
      <x:c r="E125" s="14" t="str">
        <x:v>G5</x:v>
      </x:c>
      <x:c r="F125" s="14" t="n">
        <x:v>0</x:v>
      </x:c>
      <x:c r="G125" s="36" t="n">
        <x:f>SUMPRODUCT(N125:AP125,$N$4:$AP$4)</x:f>
        <x:v>27.5</x:v>
      </x:c>
      <x:c r="H125" s="36" t="n">
        <x:f>SUMPRODUCT(N125:U125,$N$4:$U$4)</x:f>
        <x:v>11</x:v>
      </x:c>
      <x:c r="I125" s="36" t="n">
        <x:f>SUMPRODUCT(V125:Z125,$V$4:$Z$4)</x:f>
        <x:v>4.5</x:v>
      </x:c>
      <x:c r="J125" s="36" t="n">
        <x:f>SUMPRODUCT(AA125:AE125,$AA$4:$AE$4)</x:f>
        <x:v>6.5</x:v>
      </x:c>
      <x:c r="K125" s="36" t="n">
        <x:f>SUMPRODUCT(AF125:AI125,$AF$4:$AI$4)</x:f>
        <x:v>0</x:v>
      </x:c>
      <x:c r="L125" s="36" t="n">
        <x:f>SUMPRODUCT(AJ125:AK125,$AJ$4:$AK$4)</x:f>
        <x:v>4</x:v>
      </x:c>
      <x:c r="M125" s="36" t="n">
        <x:f>SUMPRODUCT(AL125:AP125,$AL$4:$AP$4)</x:f>
        <x:v>1.5</x:v>
      </x:c>
      <x:c r="N125" s="38" t="n">
        <x:v>0.5</x:v>
      </x:c>
      <x:c r="O125" s="38" t="n">
        <x:v>0</x:v>
      </x:c>
      <x:c r="P125" s="38" t="n">
        <x:v>0.5</x:v>
      </x:c>
      <x:c r="Q125" s="38" t="n">
        <x:v>1</x:v>
      </x:c>
      <x:c r="R125" s="38" t="n">
        <x:v>0</x:v>
      </x:c>
      <x:c r="S125" s="38" t="n">
        <x:v>0</x:v>
      </x:c>
      <x:c r="T125" s="38" t="n">
        <x:v>0</x:v>
      </x:c>
      <x:c r="U125" s="38" t="n">
        <x:v>0.5</x:v>
      </x:c>
      <x:c r="V125" s="38" t="n">
        <x:v>0</x:v>
      </x:c>
      <x:c r="W125" s="38" t="n">
        <x:v>0</x:v>
      </x:c>
      <x:c r="X125" s="38" t="n">
        <x:v>0.5</x:v>
      </x:c>
      <x:c r="Y125" s="38" t="n">
        <x:v>0.5</x:v>
      </x:c>
      <x:c r="Z125" s="38" t="n">
        <x:v>0.5</x:v>
      </x:c>
      <x:c r="AA125" s="38" t="n">
        <x:v>0.5</x:v>
      </x:c>
      <x:c r="AB125" s="38" t="n">
        <x:v>0.5</x:v>
      </x:c>
      <x:c r="AC125" s="38" t="n">
        <x:v>0.5</x:v>
      </x:c>
      <x:c r="AD125" s="38" t="n">
        <x:v>0</x:v>
      </x:c>
      <x:c r="AE125" s="38" t="n">
        <x:v>0.5</x:v>
      </x:c>
      <x:c r="AF125" s="38" t="n">
        <x:v>0</x:v>
      </x:c>
      <x:c r="AG125" s="38" t="n">
        <x:v>0</x:v>
      </x:c>
      <x:c r="AH125" s="38" t="n">
        <x:v>0</x:v>
      </x:c>
      <x:c r="AI125" s="38" t="n">
        <x:v>0</x:v>
      </x:c>
      <x:c r="AJ125" s="38" t="n">
        <x:v>1</x:v>
      </x:c>
      <x:c r="AK125" s="38" t="n">
        <x:v>0</x:v>
      </x:c>
      <x:c r="AL125" s="38" t="n">
        <x:v>0.5</x:v>
      </x:c>
      <x:c r="AM125" s="38" t="n">
        <x:v>0.5</x:v>
      </x:c>
      <x:c r="AN125" s="38" t="n">
        <x:v>0.5</x:v>
      </x:c>
      <x:c r="AO125" s="38" t="n">
        <x:v>0</x:v>
      </x:c>
      <x:c r="AP125" s="38" t="n">
        <x:v>0</x:v>
      </x:c>
      <x:c r="AQ125" s="28" t="str">
        <x:v>脚本直接把below_bc两条Plot列作为B和V；真正B,V表随B下降，报告则上涨。未解决语义冲突就排除理论，核心证据不通过；未全量重放，暂不另加P。</x:v>
      </x:c>
      <x:c r="AR125" s="28" t="str">
        <x:v>https://raw.githubusercontent.com/ZYDTR/truthinsightbench-dwf-scoring/main/runs/Physics_04_temporal_delay_transition/workspace/output/Result.md</x:v>
      </x:c>
      <x:c r="AS125" s="28" t="str">
        <x:v>待核验；暂不计入</x:v>
      </x:c>
    </x:row>
    <x:row r="126" ht="65" customHeight="1">
      <x:c r="A126" s="14" t="n">
        <x:v>121</x:v>
      </x:c>
      <x:c r="B126" s="14" t="str">
        <x:v>Physics_04_temporal_delay_transition</x:v>
      </x:c>
      <x:c r="C126" s="14" t="str">
        <x:v>F2</x:v>
      </x:c>
      <x:c r="D126" s="28" t="str">
        <x:v>相关时间随条件大幅缩短</x:v>
      </x:c>
      <x:c r="E126" s="14" t="str">
        <x:v>G2</x:v>
      </x:c>
      <x:c r="F126" s="14" t="n">
        <x:v>0</x:v>
      </x:c>
      <x:c r="G126" s="36" t="n">
        <x:f>SUMPRODUCT(N126:AP126,$N$4:$AP$4)</x:f>
        <x:v>53</x:v>
      </x:c>
      <x:c r="H126" s="36" t="n">
        <x:f>SUMPRODUCT(N126:U126,$N$4:$U$4)</x:f>
        <x:v>30.5</x:v>
      </x:c>
      <x:c r="I126" s="36" t="n">
        <x:f>SUMPRODUCT(V126:Z126,$V$4:$Z$4)</x:f>
        <x:v>7.5</x:v>
      </x:c>
      <x:c r="J126" s="36" t="n">
        <x:f>SUMPRODUCT(AA126:AE126,$AA$4:$AE$4)</x:f>
        <x:v>9</x:v>
      </x:c>
      <x:c r="K126" s="36" t="n">
        <x:f>SUMPRODUCT(AF126:AI126,$AF$4:$AI$4)</x:f>
        <x:v>0</x:v>
      </x:c>
      <x:c r="L126" s="36" t="n">
        <x:f>SUMPRODUCT(AJ126:AK126,$AJ$4:$AK$4)</x:f>
        <x:v>4</x:v>
      </x:c>
      <x:c r="M126" s="36" t="n">
        <x:f>SUMPRODUCT(AL126:AP126,$AL$4:$AP$4)</x:f>
        <x:v>2</x:v>
      </x:c>
      <x:c r="N126" s="38" t="n">
        <x:v>0.5</x:v>
      </x:c>
      <x:c r="O126" s="38" t="n">
        <x:v>1</x:v>
      </x:c>
      <x:c r="P126" s="38" t="n">
        <x:v>0.5</x:v>
      </x:c>
      <x:c r="Q126" s="38" t="n">
        <x:v>0.5</x:v>
      </x:c>
      <x:c r="R126" s="38" t="n">
        <x:v>0.5</x:v>
      </x:c>
      <x:c r="S126" s="38" t="n">
        <x:v>0.5</x:v>
      </x:c>
      <x:c r="T126" s="38" t="n">
        <x:v>1</x:v>
      </x:c>
      <x:c r="U126" s="38" t="n">
        <x:v>1</x:v>
      </x:c>
      <x:c r="V126" s="38" t="n">
        <x:v>0</x:v>
      </x:c>
      <x:c r="W126" s="38" t="n">
        <x:v>0</x:v>
      </x:c>
      <x:c r="X126" s="38" t="n">
        <x:v>0.5</x:v>
      </x:c>
      <x:c r="Y126" s="38" t="n">
        <x:v>1</x:v>
      </x:c>
      <x:c r="Z126" s="38" t="n">
        <x:v>1</x:v>
      </x:c>
      <x:c r="AA126" s="38" t="n">
        <x:v>1</x:v>
      </x:c>
      <x:c r="AB126" s="38" t="n">
        <x:v>0.5</x:v>
      </x:c>
      <x:c r="AC126" s="38" t="n">
        <x:v>0.5</x:v>
      </x:c>
      <x:c r="AD126" s="38" t="n">
        <x:v>0.5</x:v>
      </x:c>
      <x:c r="AE126" s="38" t="n">
        <x:v>0.5</x:v>
      </x:c>
      <x:c r="AF126" s="38" t="n">
        <x:v>0</x:v>
      </x:c>
      <x:c r="AG126" s="38" t="n">
        <x:v>0</x:v>
      </x:c>
      <x:c r="AH126" s="38" t="n">
        <x:v>0</x:v>
      </x:c>
      <x:c r="AI126" s="38" t="n">
        <x:v>0</x:v>
      </x:c>
      <x:c r="AJ126" s="38" t="n">
        <x:v>1</x:v>
      </x:c>
      <x:c r="AK126" s="38" t="n">
        <x:v>0</x:v>
      </x:c>
      <x:c r="AL126" s="38" t="n">
        <x:v>1</x:v>
      </x:c>
      <x:c r="AM126" s="38" t="n">
        <x:v>0.5</x:v>
      </x:c>
      <x:c r="AN126" s="38" t="n">
        <x:v>0.5</x:v>
      </x:c>
      <x:c r="AO126" s="38" t="n">
        <x:v>0</x:v>
      </x:c>
      <x:c r="AP126" s="38" t="n">
        <x:v>0</x:v>
      </x:c>
      <x:c r="AQ126" s="28" t="str">
        <x:v>积分和指数拟合的约33–37倍变化同向；五点临界拟合病态，正确未把β≈544当物理指数。</x:v>
      </x:c>
      <x:c r="AR126" s="28" t="str">
        <x:v>https://raw.githubusercontent.com/ZYDTR/truthinsightbench-dwf-scoring/main/runs/Physics_04_temporal_delay_transition/workspace/output/Result.md</x:v>
      </x:c>
      <x:c r="AS126" s="28" t="str">
        <x:v>待核验；暂不计入</x:v>
      </x:c>
    </x:row>
    <x:row r="127" ht="65" customHeight="1">
      <x:c r="A127" s="14" t="n">
        <x:v>122</x:v>
      </x:c>
      <x:c r="B127" s="14" t="str">
        <x:v>Physics_04_temporal_delay_transition</x:v>
      </x:c>
      <x:c r="C127" s="14" t="str">
        <x:v>F3</x:v>
      </x:c>
      <x:c r="D127" s="28" t="str">
        <x:v>有限尺寸变化可见而精确外推未定</x:v>
      </x:c>
      <x:c r="E127" s="14" t="str">
        <x:v>G1</x:v>
      </x:c>
      <x:c r="F127" s="14" t="n">
        <x:v>0</x:v>
      </x:c>
      <x:c r="G127" s="36" t="n">
        <x:f>SUMPRODUCT(N127:AP127,$N$4:$AP$4)</x:f>
        <x:v>55.5</x:v>
      </x:c>
      <x:c r="H127" s="36" t="n">
        <x:f>SUMPRODUCT(N127:U127,$N$4:$U$4)</x:f>
        <x:v>30.5</x:v>
      </x:c>
      <x:c r="I127" s="36" t="n">
        <x:f>SUMPRODUCT(V127:Z127,$V$4:$Z$4)</x:f>
        <x:v>7.5</x:v>
      </x:c>
      <x:c r="J127" s="36" t="n">
        <x:f>SUMPRODUCT(AA127:AE127,$AA$4:$AE$4)</x:f>
        <x:v>11</x:v>
      </x:c>
      <x:c r="K127" s="36" t="n">
        <x:f>SUMPRODUCT(AF127:AI127,$AF$4:$AI$4)</x:f>
        <x:v>0</x:v>
      </x:c>
      <x:c r="L127" s="36" t="n">
        <x:f>SUMPRODUCT(AJ127:AK127,$AJ$4:$AK$4)</x:f>
        <x:v>4</x:v>
      </x:c>
      <x:c r="M127" s="36" t="n">
        <x:f>SUMPRODUCT(AL127:AP127,$AL$4:$AP$4)</x:f>
        <x:v>2.5</x:v>
      </x:c>
      <x:c r="N127" s="38" t="n">
        <x:v>0.5</x:v>
      </x:c>
      <x:c r="O127" s="38" t="n">
        <x:v>1</x:v>
      </x:c>
      <x:c r="P127" s="38" t="n">
        <x:v>0.5</x:v>
      </x:c>
      <x:c r="Q127" s="38" t="n">
        <x:v>0.5</x:v>
      </x:c>
      <x:c r="R127" s="38" t="n">
        <x:v>0.5</x:v>
      </x:c>
      <x:c r="S127" s="38" t="n">
        <x:v>0.5</x:v>
      </x:c>
      <x:c r="T127" s="38" t="n">
        <x:v>1</x:v>
      </x:c>
      <x:c r="U127" s="38" t="n">
        <x:v>1</x:v>
      </x:c>
      <x:c r="V127" s="38" t="n">
        <x:v>0</x:v>
      </x:c>
      <x:c r="W127" s="38" t="n">
        <x:v>0</x:v>
      </x:c>
      <x:c r="X127" s="38" t="n">
        <x:v>0.5</x:v>
      </x:c>
      <x:c r="Y127" s="38" t="n">
        <x:v>1</x:v>
      </x:c>
      <x:c r="Z127" s="38" t="n">
        <x:v>1</x:v>
      </x:c>
      <x:c r="AA127" s="38" t="n">
        <x:v>1</x:v>
      </x:c>
      <x:c r="AB127" s="38" t="n">
        <x:v>0.5</x:v>
      </x:c>
      <x:c r="AC127" s="38" t="n">
        <x:v>1</x:v>
      </x:c>
      <x:c r="AD127" s="38" t="n">
        <x:v>0.5</x:v>
      </x:c>
      <x:c r="AE127" s="38" t="n">
        <x:v>0.5</x:v>
      </x:c>
      <x:c r="AF127" s="38" t="n">
        <x:v>0</x:v>
      </x:c>
      <x:c r="AG127" s="38" t="n">
        <x:v>0</x:v>
      </x:c>
      <x:c r="AH127" s="38" t="n">
        <x:v>0</x:v>
      </x:c>
      <x:c r="AI127" s="38" t="n">
        <x:v>0</x:v>
      </x:c>
      <x:c r="AJ127" s="38" t="n">
        <x:v>1</x:v>
      </x:c>
      <x:c r="AK127" s="38" t="n">
        <x:v>0</x:v>
      </x:c>
      <x:c r="AL127" s="38" t="n">
        <x:v>1</x:v>
      </x:c>
      <x:c r="AM127" s="38" t="n">
        <x:v>0.5</x:v>
      </x:c>
      <x:c r="AN127" s="38" t="n">
        <x:v>0.5</x:v>
      </x:c>
      <x:c r="AO127" s="38" t="n">
        <x:v>0.5</x:v>
      </x:c>
      <x:c r="AP127" s="38" t="n">
        <x:v>0</x:v>
      </x:c>
      <x:c r="AQ127" s="28" t="str">
        <x:v>1/N与自由指数外推明显不同；删小尺寸结果支持收敛趋势，而非唯一热力学临界值。</x:v>
      </x:c>
      <x:c r="AR127" s="28" t="str">
        <x:v>https://raw.githubusercontent.com/ZYDTR/truthinsightbench-dwf-scoring/main/runs/Physics_04_temporal_delay_transition/workspace/output/Result.md</x:v>
      </x:c>
      <x:c r="AS127" s="28" t="str">
        <x:v>待核验；暂不计入</x:v>
      </x:c>
    </x:row>
    <x:row r="128" ht="65" customHeight="1">
      <x:c r="A128" s="14" t="n">
        <x:v>123</x:v>
      </x:c>
      <x:c r="B128" s="14" t="str">
        <x:v>Physics_04_temporal_delay_transition</x:v>
      </x:c>
      <x:c r="C128" s="14" t="str">
        <x:v>F4</x:v>
      </x:c>
      <x:c r="D128" s="28" t="str">
        <x:v>真实网络延迟总体下降但非严格单调</x:v>
      </x:c>
      <x:c r="E128" s="14" t="str">
        <x:v>G3</x:v>
      </x:c>
      <x:c r="F128" s="14" t="n">
        <x:v>0</x:v>
      </x:c>
      <x:c r="G128" s="36" t="n">
        <x:f>SUMPRODUCT(N128:AP128,$N$4:$AP$4)</x:f>
        <x:v>48.5</x:v>
      </x:c>
      <x:c r="H128" s="36" t="n">
        <x:f>SUMPRODUCT(N128:U128,$N$4:$U$4)</x:f>
        <x:v>24</x:v>
      </x:c>
      <x:c r="I128" s="36" t="n">
        <x:f>SUMPRODUCT(V128:Z128,$V$4:$Z$4)</x:f>
        <x:v>7.5</x:v>
      </x:c>
      <x:c r="J128" s="36" t="n">
        <x:f>SUMPRODUCT(AA128:AE128,$AA$4:$AE$4)</x:f>
        <x:v>9</x:v>
      </x:c>
      <x:c r="K128" s="36" t="n">
        <x:f>SUMPRODUCT(AF128:AI128,$AF$4:$AI$4)</x:f>
        <x:v>2</x:v>
      </x:c>
      <x:c r="L128" s="36" t="n">
        <x:f>SUMPRODUCT(AJ128:AK128,$AJ$4:$AK$4)</x:f>
        <x:v>4</x:v>
      </x:c>
      <x:c r="M128" s="36" t="n">
        <x:f>SUMPRODUCT(AL128:AP128,$AL$4:$AP$4)</x:f>
        <x:v>2</x:v>
      </x:c>
      <x:c r="N128" s="38" t="n">
        <x:v>0.5</x:v>
      </x:c>
      <x:c r="O128" s="38" t="n">
        <x:v>1</x:v>
      </x:c>
      <x:c r="P128" s="38" t="n">
        <x:v>0.5</x:v>
      </x:c>
      <x:c r="Q128" s="38" t="n">
        <x:v>0.5</x:v>
      </x:c>
      <x:c r="R128" s="38" t="n">
        <x:v>0.5</x:v>
      </x:c>
      <x:c r="S128" s="38" t="n">
        <x:v>0</x:v>
      </x:c>
      <x:c r="T128" s="38" t="n">
        <x:v>0.5</x:v>
      </x:c>
      <x:c r="U128" s="38" t="n">
        <x:v>1</x:v>
      </x:c>
      <x:c r="V128" s="38" t="n">
        <x:v>0</x:v>
      </x:c>
      <x:c r="W128" s="38" t="n">
        <x:v>0</x:v>
      </x:c>
      <x:c r="X128" s="38" t="n">
        <x:v>0.5</x:v>
      </x:c>
      <x:c r="Y128" s="38" t="n">
        <x:v>1</x:v>
      </x:c>
      <x:c r="Z128" s="38" t="n">
        <x:v>1</x:v>
      </x:c>
      <x:c r="AA128" s="38" t="n">
        <x:v>1</x:v>
      </x:c>
      <x:c r="AB128" s="38" t="n">
        <x:v>0.5</x:v>
      </x:c>
      <x:c r="AC128" s="38" t="n">
        <x:v>0.5</x:v>
      </x:c>
      <x:c r="AD128" s="38" t="n">
        <x:v>0.5</x:v>
      </x:c>
      <x:c r="AE128" s="38" t="n">
        <x:v>0.5</x:v>
      </x:c>
      <x:c r="AF128" s="38" t="n">
        <x:v>0.5</x:v>
      </x:c>
      <x:c r="AG128" s="38" t="n">
        <x:v>0</x:v>
      </x:c>
      <x:c r="AH128" s="38" t="n">
        <x:v>0</x:v>
      </x:c>
      <x:c r="AI128" s="38" t="n">
        <x:v>0.5</x:v>
      </x:c>
      <x:c r="AJ128" s="38" t="n">
        <x:v>1</x:v>
      </x:c>
      <x:c r="AK128" s="38" t="n">
        <x:v>0</x:v>
      </x:c>
      <x:c r="AL128" s="38" t="n">
        <x:v>1</x:v>
      </x:c>
      <x:c r="AM128" s="38" t="n">
        <x:v>0.5</x:v>
      </x:c>
      <x:c r="AN128" s="38" t="n">
        <x:v>0.5</x:v>
      </x:c>
      <x:c r="AO128" s="38" t="n">
        <x:v>0</x:v>
      </x:c>
      <x:c r="AP128" s="38" t="n">
        <x:v>0</x:v>
      </x:c>
      <x:c r="AQ128" s="28" t="str">
        <x:v>两网络下降有支持；78–82%相邻下降不是严格单调，端点比约1.34万和0.36万而不是10万。</x:v>
      </x:c>
      <x:c r="AR128" s="28" t="str">
        <x:v>https://raw.githubusercontent.com/ZYDTR/truthinsightbench-dwf-scoring/main/runs/Physics_04_temporal_delay_transition/workspace/output/Result.md</x:v>
      </x:c>
      <x:c r="AS128" s="28" t="str">
        <x:v>待核验；暂不计入</x:v>
      </x:c>
    </x:row>
    <x:row r="129" ht="65" customHeight="1">
      <x:c r="A129" s="14" t="n">
        <x:v>124</x:v>
      </x:c>
      <x:c r="B129" s="14" t="str">
        <x:v>Physics_04_temporal_delay_transition</x:v>
      </x:c>
      <x:c r="C129" s="14" t="str">
        <x:v>F5</x:v>
      </x:c>
      <x:c r="D129" s="28" t="str">
        <x:v>辅助临界现象不能证明没有时间漂移</x:v>
      </x:c>
      <x:c r="E129" s="14" t="str">
        <x:v>G4</x:v>
      </x:c>
      <x:c r="F129" s="14" t="n">
        <x:v>0</x:v>
      </x:c>
      <x:c r="G129" s="36" t="n">
        <x:f>SUMPRODUCT(N129:AP129,$N$4:$AP$4)</x:f>
        <x:v>38.5</x:v>
      </x:c>
      <x:c r="H129" s="36" t="n">
        <x:f>SUMPRODUCT(N129:U129,$N$4:$U$4)</x:f>
        <x:v>20.5</x:v>
      </x:c>
      <x:c r="I129" s="36" t="n">
        <x:f>SUMPRODUCT(V129:Z129,$V$4:$Z$4)</x:f>
        <x:v>4.5</x:v>
      </x:c>
      <x:c r="J129" s="36" t="n">
        <x:f>SUMPRODUCT(AA129:AE129,$AA$4:$AE$4)</x:f>
        <x:v>7.5</x:v>
      </x:c>
      <x:c r="K129" s="36" t="n">
        <x:f>SUMPRODUCT(AF129:AI129,$AF$4:$AI$4)</x:f>
        <x:v>0</x:v>
      </x:c>
      <x:c r="L129" s="36" t="n">
        <x:f>SUMPRODUCT(AJ129:AK129,$AJ$4:$AK$4)</x:f>
        <x:v>4</x:v>
      </x:c>
      <x:c r="M129" s="36" t="n">
        <x:f>SUMPRODUCT(AL129:AP129,$AL$4:$AP$4)</x:f>
        <x:v>2</x:v>
      </x:c>
      <x:c r="N129" s="38" t="n">
        <x:v>0.5</x:v>
      </x:c>
      <x:c r="O129" s="38" t="n">
        <x:v>1</x:v>
      </x:c>
      <x:c r="P129" s="38" t="n">
        <x:v>0.5</x:v>
      </x:c>
      <x:c r="Q129" s="38" t="n">
        <x:v>0.5</x:v>
      </x:c>
      <x:c r="R129" s="38" t="n">
        <x:v>0.5</x:v>
      </x:c>
      <x:c r="S129" s="38" t="n">
        <x:v>0.5</x:v>
      </x:c>
      <x:c r="T129" s="38" t="n">
        <x:v>0</x:v>
      </x:c>
      <x:c r="U129" s="38" t="n">
        <x:v>0.5</x:v>
      </x:c>
      <x:c r="V129" s="38" t="n">
        <x:v>0</x:v>
      </x:c>
      <x:c r="W129" s="38" t="n">
        <x:v>0</x:v>
      </x:c>
      <x:c r="X129" s="38" t="n">
        <x:v>0.5</x:v>
      </x:c>
      <x:c r="Y129" s="38" t="n">
        <x:v>0.5</x:v>
      </x:c>
      <x:c r="Z129" s="38" t="n">
        <x:v>0.5</x:v>
      </x:c>
      <x:c r="AA129" s="38" t="n">
        <x:v>0.5</x:v>
      </x:c>
      <x:c r="AB129" s="38" t="n">
        <x:v>0.5</x:v>
      </x:c>
      <x:c r="AC129" s="38" t="n">
        <x:v>0.5</x:v>
      </x:c>
      <x:c r="AD129" s="38" t="n">
        <x:v>0.5</x:v>
      </x:c>
      <x:c r="AE129" s="38" t="n">
        <x:v>0.5</x:v>
      </x:c>
      <x:c r="AF129" s="38" t="n">
        <x:v>0</x:v>
      </x:c>
      <x:c r="AG129" s="38" t="n">
        <x:v>0</x:v>
      </x:c>
      <x:c r="AH129" s="38" t="n">
        <x:v>0</x:v>
      </x:c>
      <x:c r="AI129" s="38" t="n">
        <x:v>0</x:v>
      </x:c>
      <x:c r="AJ129" s="38" t="n">
        <x:v>1</x:v>
      </x:c>
      <x:c r="AK129" s="38" t="n">
        <x:v>0</x:v>
      </x:c>
      <x:c r="AL129" s="38" t="n">
        <x:v>1</x:v>
      </x:c>
      <x:c r="AM129" s="38" t="n">
        <x:v>0.5</x:v>
      </x:c>
      <x:c r="AN129" s="38" t="n">
        <x:v>0.5</x:v>
      </x:c>
      <x:c r="AO129" s="38" t="n">
        <x:v>0</x:v>
      </x:c>
      <x:c r="AP129" s="38" t="n">
        <x:v>0</x:v>
      </x:c>
      <x:c r="AQ129" s="28" t="str">
        <x:v>低R²不是无漂移的等效证据，非零趋势在27k点上尤其需处理自相关；『一致』也不排除强竞争解释。</x:v>
      </x:c>
      <x:c r="AR129" s="28" t="str">
        <x:v>https://raw.githubusercontent.com/ZYDTR/truthinsightbench-dwf-scoring/main/runs/Physics_04_temporal_delay_transition/workspace/output/Result.md</x:v>
      </x:c>
      <x:c r="AS129" s="28" t="str">
        <x:v>待核验；暂不计入</x:v>
      </x:c>
    </x:row>
    <x:row r="130" ht="65" customHeight="1">
      <x:c r="A130" s="14" t="n">
        <x:v>125</x:v>
      </x:c>
      <x:c r="B130" s="14" t="str">
        <x:v>Physics_05_variational_circuit_simulation</x:v>
      </x:c>
      <x:c r="C130" s="14" t="str">
        <x:v>F1</x:v>
      </x:c>
      <x:c r="D130" s="28" t="str">
        <x:v>冻结案例的精确成本层近机器精度</x:v>
      </x:c>
      <x:c r="E130" s="14" t="str">
        <x:v>G2</x:v>
      </x:c>
      <x:c r="F130" s="14" t="n">
        <x:v>0</x:v>
      </x:c>
      <x:c r="G130" s="36" t="n">
        <x:f>SUMPRODUCT(N130:AP130,$N$4:$AP$4)</x:f>
        <x:v>61.5</x:v>
      </x:c>
      <x:c r="H130" s="36" t="n">
        <x:f>SUMPRODUCT(N130:U130,$N$4:$U$4)</x:f>
        <x:v>40</x:v>
      </x:c>
      <x:c r="I130" s="36" t="n">
        <x:f>SUMPRODUCT(V130:Z130,$V$4:$Z$4)</x:f>
        <x:v>6</x:v>
      </x:c>
      <x:c r="J130" s="36" t="n">
        <x:f>SUMPRODUCT(AA130:AE130,$AA$4:$AE$4)</x:f>
        <x:v>9</x:v>
      </x:c>
      <x:c r="K130" s="36" t="n">
        <x:f>SUMPRODUCT(AF130:AI130,$AF$4:$AI$4)</x:f>
        <x:v>0</x:v>
      </x:c>
      <x:c r="L130" s="36" t="n">
        <x:f>SUMPRODUCT(AJ130:AK130,$AJ$4:$AK$4)</x:f>
        <x:v>4</x:v>
      </x:c>
      <x:c r="M130" s="36" t="n">
        <x:f>SUMPRODUCT(AL130:AP130,$AL$4:$AP$4)</x:f>
        <x:v>2.5</x:v>
      </x:c>
      <x:c r="N130" s="38" t="n">
        <x:v>0.5</x:v>
      </x:c>
      <x:c r="O130" s="38" t="n">
        <x:v>1</x:v>
      </x:c>
      <x:c r="P130" s="38" t="n">
        <x:v>0.5</x:v>
      </x:c>
      <x:c r="Q130" s="38" t="n">
        <x:v>1</x:v>
      </x:c>
      <x:c r="R130" s="38" t="n">
        <x:v>1</x:v>
      </x:c>
      <x:c r="S130" s="38" t="n">
        <x:v>1</x:v>
      </x:c>
      <x:c r="T130" s="38" t="n">
        <x:v>1</x:v>
      </x:c>
      <x:c r="U130" s="38" t="n">
        <x:v>1</x:v>
      </x:c>
      <x:c r="V130" s="38" t="n">
        <x:v>0</x:v>
      </x:c>
      <x:c r="W130" s="38" t="n">
        <x:v>0</x:v>
      </x:c>
      <x:c r="X130" s="38" t="n">
        <x:v>0.5</x:v>
      </x:c>
      <x:c r="Y130" s="38" t="n">
        <x:v>0.5</x:v>
      </x:c>
      <x:c r="Z130" s="38" t="n">
        <x:v>1</x:v>
      </x:c>
      <x:c r="AA130" s="38" t="n">
        <x:v>1</x:v>
      </x:c>
      <x:c r="AB130" s="38" t="n">
        <x:v>0.5</x:v>
      </x:c>
      <x:c r="AC130" s="38" t="n">
        <x:v>0.5</x:v>
      </x:c>
      <x:c r="AD130" s="38" t="n">
        <x:v>0.5</x:v>
      </x:c>
      <x:c r="AE130" s="38" t="n">
        <x:v>0.5</x:v>
      </x:c>
      <x:c r="AF130" s="38" t="n">
        <x:v>0</x:v>
      </x:c>
      <x:c r="AG130" s="38" t="n">
        <x:v>0</x:v>
      </x:c>
      <x:c r="AH130" s="38" t="n">
        <x:v>0</x:v>
      </x:c>
      <x:c r="AI130" s="38" t="n">
        <x:v>0</x:v>
      </x:c>
      <x:c r="AJ130" s="38" t="n">
        <x:v>1</x:v>
      </x:c>
      <x:c r="AK130" s="38" t="n">
        <x:v>0</x:v>
      </x:c>
      <x:c r="AL130" s="38" t="n">
        <x:v>1</x:v>
      </x:c>
      <x:c r="AM130" s="38" t="n">
        <x:v>0.5</x:v>
      </x:c>
      <x:c r="AN130" s="38" t="n">
        <x:v>0.5</x:v>
      </x:c>
      <x:c r="AO130" s="38" t="n">
        <x:v>0.5</x:v>
      </x:c>
      <x:c r="AP130" s="38" t="n">
        <x:v>0</x:v>
      </x:c>
      <x:c r="AQ130" s="28" t="str">
        <x:v>从12个冻结观测可直接核对最小值及舍入误差；是对提供数据的正确分析，不是本次重新实现量子模拟。</x:v>
      </x:c>
      <x:c r="AR130" s="28" t="str">
        <x:v>https://raw.githubusercontent.com/ZYDTR/truthinsightbench-dwf-scoring/main/runs/Physics_05_variational_circuit_simulation/workspace/output/Result.md</x:v>
      </x:c>
      <x:c r="AS130" s="28" t="str">
        <x:v>待核验；暂不计入</x:v>
      </x:c>
    </x:row>
    <x:row r="131" ht="65" customHeight="1">
      <x:c r="A131" s="14" t="n">
        <x:v>126</x:v>
      </x:c>
      <x:c r="B131" s="14" t="str">
        <x:v>Physics_05_variational_circuit_simulation</x:v>
      </x:c>
      <x:c r="C131" s="14" t="str">
        <x:v>F2</x:v>
      </x:c>
      <x:c r="D131" s="28" t="str">
        <x:v>叠加层数后全态保真度降低</x:v>
      </x:c>
      <x:c r="E131" s="14" t="str">
        <x:v>G1</x:v>
      </x:c>
      <x:c r="F131" s="14" t="n">
        <x:v>0</x:v>
      </x:c>
      <x:c r="G131" s="36" t="n">
        <x:f>SUMPRODUCT(N131:AP131,$N$4:$AP$4)</x:f>
        <x:v>59.5</x:v>
      </x:c>
      <x:c r="H131" s="36" t="n">
        <x:f>SUMPRODUCT(N131:U131,$N$4:$U$4)</x:f>
        <x:v>36</x:v>
      </x:c>
      <x:c r="I131" s="36" t="n">
        <x:f>SUMPRODUCT(V131:Z131,$V$4:$Z$4)</x:f>
        <x:v>6</x:v>
      </x:c>
      <x:c r="J131" s="36" t="n">
        <x:f>SUMPRODUCT(AA131:AE131,$AA$4:$AE$4)</x:f>
        <x:v>9</x:v>
      </x:c>
      <x:c r="K131" s="36" t="n">
        <x:f>SUMPRODUCT(AF131:AI131,$AF$4:$AI$4)</x:f>
        <x:v>2</x:v>
      </x:c>
      <x:c r="L131" s="36" t="n">
        <x:f>SUMPRODUCT(AJ131:AK131,$AJ$4:$AK$4)</x:f>
        <x:v>4</x:v>
      </x:c>
      <x:c r="M131" s="36" t="n">
        <x:f>SUMPRODUCT(AL131:AP131,$AL$4:$AP$4)</x:f>
        <x:v>2.5</x:v>
      </x:c>
      <x:c r="N131" s="38" t="n">
        <x:v>0.5</x:v>
      </x:c>
      <x:c r="O131" s="38" t="n">
        <x:v>1</x:v>
      </x:c>
      <x:c r="P131" s="38" t="n">
        <x:v>0.5</x:v>
      </x:c>
      <x:c r="Q131" s="38" t="n">
        <x:v>1</x:v>
      </x:c>
      <x:c r="R131" s="38" t="n">
        <x:v>1</x:v>
      </x:c>
      <x:c r="S131" s="38" t="n">
        <x:v>1</x:v>
      </x:c>
      <x:c r="T131" s="38" t="n">
        <x:v>0.5</x:v>
      </x:c>
      <x:c r="U131" s="38" t="n">
        <x:v>1</x:v>
      </x:c>
      <x:c r="V131" s="38" t="n">
        <x:v>0</x:v>
      </x:c>
      <x:c r="W131" s="38" t="n">
        <x:v>0</x:v>
      </x:c>
      <x:c r="X131" s="38" t="n">
        <x:v>0.5</x:v>
      </x:c>
      <x:c r="Y131" s="38" t="n">
        <x:v>0.5</x:v>
      </x:c>
      <x:c r="Z131" s="38" t="n">
        <x:v>1</x:v>
      </x:c>
      <x:c r="AA131" s="38" t="n">
        <x:v>1</x:v>
      </x:c>
      <x:c r="AB131" s="38" t="n">
        <x:v>0.5</x:v>
      </x:c>
      <x:c r="AC131" s="38" t="n">
        <x:v>0.5</x:v>
      </x:c>
      <x:c r="AD131" s="38" t="n">
        <x:v>0.5</x:v>
      </x:c>
      <x:c r="AE131" s="38" t="n">
        <x:v>0.5</x:v>
      </x:c>
      <x:c r="AF131" s="38" t="n">
        <x:v>0.5</x:v>
      </x:c>
      <x:c r="AG131" s="38" t="n">
        <x:v>0</x:v>
      </x:c>
      <x:c r="AH131" s="38" t="n">
        <x:v>0</x:v>
      </x:c>
      <x:c r="AI131" s="38" t="n">
        <x:v>0.5</x:v>
      </x:c>
      <x:c r="AJ131" s="38" t="n">
        <x:v>1</x:v>
      </x:c>
      <x:c r="AK131" s="38" t="n">
        <x:v>0</x:v>
      </x:c>
      <x:c r="AL131" s="38" t="n">
        <x:v>1</x:v>
      </x:c>
      <x:c r="AM131" s="38" t="n">
        <x:v>0.5</x:v>
      </x:c>
      <x:c r="AN131" s="38" t="n">
        <x:v>0.5</x:v>
      </x:c>
      <x:c r="AO131" s="38" t="n">
        <x:v>0.5</x:v>
      </x:c>
      <x:c r="AP131" s="38" t="n">
        <x:v>0</x:v>
      </x:c>
      <x:c r="AQ131" s="28" t="str">
        <x:v>3/3案例p2低于p1，但不能据门级较高保真度断言误差只集中在最后阶段，累积误差仍是竞争解释。</x:v>
      </x:c>
      <x:c r="AR131" s="28" t="str">
        <x:v>https://raw.githubusercontent.com/ZYDTR/truthinsightbench-dwf-scoring/main/runs/Physics_05_variational_circuit_simulation/workspace/output/Result.md</x:v>
      </x:c>
      <x:c r="AS131" s="28" t="str">
        <x:v>待核验；暂不计入</x:v>
      </x:c>
    </x:row>
    <x:row r="132" ht="65" customHeight="1">
      <x:c r="A132" s="14" t="n">
        <x:v>127</x:v>
      </x:c>
      <x:c r="B132" s="14" t="str">
        <x:v>Physics_05_variational_circuit_simulation</x:v>
      </x:c>
      <x:c r="C132" s="14" t="str">
        <x:v>F3</x:v>
      </x:c>
      <x:c r="D132" s="28" t="str">
        <x:v>三个图案例均满足冻结门槛</x:v>
      </x:c>
      <x:c r="E132" s="14" t="str">
        <x:v>G1</x:v>
      </x:c>
      <x:c r="F132" s="14" t="n">
        <x:v>0</x:v>
      </x:c>
      <x:c r="G132" s="36" t="n">
        <x:f>SUMPRODUCT(N132:AP132,$N$4:$AP$4)</x:f>
        <x:v>62</x:v>
      </x:c>
      <x:c r="H132" s="36" t="n">
        <x:f>SUMPRODUCT(N132:U132,$N$4:$U$4)</x:f>
        <x:v>40</x:v>
      </x:c>
      <x:c r="I132" s="36" t="n">
        <x:f>SUMPRODUCT(V132:Z132,$V$4:$Z$4)</x:f>
        <x:v>6</x:v>
      </x:c>
      <x:c r="J132" s="36" t="n">
        <x:f>SUMPRODUCT(AA132:AE132,$AA$4:$AE$4)</x:f>
        <x:v>7.5</x:v>
      </x:c>
      <x:c r="K132" s="36" t="n">
        <x:f>SUMPRODUCT(AF132:AI132,$AF$4:$AI$4)</x:f>
        <x:v>2</x:v>
      </x:c>
      <x:c r="L132" s="36" t="n">
        <x:f>SUMPRODUCT(AJ132:AK132,$AJ$4:$AK$4)</x:f>
        <x:v>4</x:v>
      </x:c>
      <x:c r="M132" s="36" t="n">
        <x:f>SUMPRODUCT(AL132:AP132,$AL$4:$AP$4)</x:f>
        <x:v>2.5</x:v>
      </x:c>
      <x:c r="N132" s="38" t="n">
        <x:v>0.5</x:v>
      </x:c>
      <x:c r="O132" s="38" t="n">
        <x:v>1</x:v>
      </x:c>
      <x:c r="P132" s="38" t="n">
        <x:v>0.5</x:v>
      </x:c>
      <x:c r="Q132" s="38" t="n">
        <x:v>1</x:v>
      </x:c>
      <x:c r="R132" s="38" t="n">
        <x:v>1</x:v>
      </x:c>
      <x:c r="S132" s="38" t="n">
        <x:v>1</x:v>
      </x:c>
      <x:c r="T132" s="38" t="n">
        <x:v>1</x:v>
      </x:c>
      <x:c r="U132" s="38" t="n">
        <x:v>1</x:v>
      </x:c>
      <x:c r="V132" s="38" t="n">
        <x:v>0</x:v>
      </x:c>
      <x:c r="W132" s="38" t="n">
        <x:v>0</x:v>
      </x:c>
      <x:c r="X132" s="38" t="n">
        <x:v>0.5</x:v>
      </x:c>
      <x:c r="Y132" s="38" t="n">
        <x:v>0.5</x:v>
      </x:c>
      <x:c r="Z132" s="38" t="n">
        <x:v>1</x:v>
      </x:c>
      <x:c r="AA132" s="38" t="n">
        <x:v>1</x:v>
      </x:c>
      <x:c r="AB132" s="38" t="n">
        <x:v>0</x:v>
      </x:c>
      <x:c r="AC132" s="38" t="n">
        <x:v>0.5</x:v>
      </x:c>
      <x:c r="AD132" s="38" t="n">
        <x:v>0.5</x:v>
      </x:c>
      <x:c r="AE132" s="38" t="n">
        <x:v>0.5</x:v>
      </x:c>
      <x:c r="AF132" s="38" t="n">
        <x:v>0.5</x:v>
      </x:c>
      <x:c r="AG132" s="38" t="n">
        <x:v>0</x:v>
      </x:c>
      <x:c r="AH132" s="38" t="n">
        <x:v>0</x:v>
      </x:c>
      <x:c r="AI132" s="38" t="n">
        <x:v>0.5</x:v>
      </x:c>
      <x:c r="AJ132" s="38" t="n">
        <x:v>1</x:v>
      </x:c>
      <x:c r="AK132" s="38" t="n">
        <x:v>0</x:v>
      </x:c>
      <x:c r="AL132" s="38" t="n">
        <x:v>1</x:v>
      </x:c>
      <x:c r="AM132" s="38" t="n">
        <x:v>0.5</x:v>
      </x:c>
      <x:c r="AN132" s="38" t="n">
        <x:v>0.5</x:v>
      </x:c>
      <x:c r="AO132" s="38" t="n">
        <x:v>0.5</x:v>
      </x:c>
      <x:c r="AP132" s="38" t="n">
        <x:v>0</x:v>
      </x:c>
      <x:c r="AQ132" s="28" t="str">
        <x:v>逐案例重算p1≥0.94、p2≥0.92、压缩≥0.95全部通过；阈值来自输入观测合同，不是参与者新做的分离验证。</x:v>
      </x:c>
      <x:c r="AR132" s="28" t="str">
        <x:v>https://raw.githubusercontent.com/ZYDTR/truthinsightbench-dwf-scoring/main/runs/Physics_05_variational_circuit_simulation/workspace/output/Result.md</x:v>
      </x:c>
      <x:c r="AS132" s="28" t="str">
        <x:v>待核验；暂不计入</x:v>
      </x:c>
    </x:row>
    <x:row r="133" ht="65" customHeight="1">
      <x:c r="A133" s="14" t="n">
        <x:v>128</x:v>
      </x:c>
      <x:c r="B133" s="14" t="str">
        <x:v>Physics_05_variational_circuit_simulation</x:v>
      </x:c>
      <x:c r="C133" s="14" t="str">
        <x:v>F4</x:v>
      </x:c>
      <x:c r="D133" s="28" t="str">
        <x:v>优化角度记录一致需查明记录机制</x:v>
      </x:c>
      <x:c r="E133" s="14" t="str">
        <x:v>G3</x:v>
      </x:c>
      <x:c r="F133" s="14" t="n">
        <x:v>0</x:v>
      </x:c>
      <x:c r="G133" s="36" t="n">
        <x:f>SUMPRODUCT(N133:AP133,$N$4:$AP$4)</x:f>
        <x:v>54</x:v>
      </x:c>
      <x:c r="H133" s="36" t="n">
        <x:f>SUMPRODUCT(N133:U133,$N$4:$U$4)</x:f>
        <x:v>33.5</x:v>
      </x:c>
      <x:c r="I133" s="36" t="n">
        <x:f>SUMPRODUCT(V133:Z133,$V$4:$Z$4)</x:f>
        <x:v>6</x:v>
      </x:c>
      <x:c r="J133" s="36" t="n">
        <x:f>SUMPRODUCT(AA133:AE133,$AA$4:$AE$4)</x:f>
        <x:v>7.5</x:v>
      </x:c>
      <x:c r="K133" s="36" t="n">
        <x:f>SUMPRODUCT(AF133:AI133,$AF$4:$AI$4)</x:f>
        <x:v>0</x:v>
      </x:c>
      <x:c r="L133" s="36" t="n">
        <x:f>SUMPRODUCT(AJ133:AK133,$AJ$4:$AK$4)</x:f>
        <x:v>4</x:v>
      </x:c>
      <x:c r="M133" s="36" t="n">
        <x:f>SUMPRODUCT(AL133:AP133,$AL$4:$AP$4)</x:f>
        <x:v>3</x:v>
      </x:c>
      <x:c r="N133" s="38" t="n">
        <x:v>0.5</x:v>
      </x:c>
      <x:c r="O133" s="38" t="n">
        <x:v>1</x:v>
      </x:c>
      <x:c r="P133" s="38" t="n">
        <x:v>0.5</x:v>
      </x:c>
      <x:c r="Q133" s="38" t="n">
        <x:v>1</x:v>
      </x:c>
      <x:c r="R133" s="38" t="n">
        <x:v>1</x:v>
      </x:c>
      <x:c r="S133" s="38" t="n">
        <x:v>0.5</x:v>
      </x:c>
      <x:c r="T133" s="38" t="n">
        <x:v>0.5</x:v>
      </x:c>
      <x:c r="U133" s="38" t="n">
        <x:v>1</x:v>
      </x:c>
      <x:c r="V133" s="38" t="n">
        <x:v>0</x:v>
      </x:c>
      <x:c r="W133" s="38" t="n">
        <x:v>0</x:v>
      </x:c>
      <x:c r="X133" s="38" t="n">
        <x:v>0.5</x:v>
      </x:c>
      <x:c r="Y133" s="38" t="n">
        <x:v>0.5</x:v>
      </x:c>
      <x:c r="Z133" s="38" t="n">
        <x:v>1</x:v>
      </x:c>
      <x:c r="AA133" s="38" t="n">
        <x:v>0.5</x:v>
      </x:c>
      <x:c r="AB133" s="38" t="n">
        <x:v>0.5</x:v>
      </x:c>
      <x:c r="AC133" s="38" t="n">
        <x:v>0.5</x:v>
      </x:c>
      <x:c r="AD133" s="38" t="n">
        <x:v>0.5</x:v>
      </x:c>
      <x:c r="AE133" s="38" t="n">
        <x:v>0.5</x:v>
      </x:c>
      <x:c r="AF133" s="38" t="n">
        <x:v>0</x:v>
      </x:c>
      <x:c r="AG133" s="38" t="n">
        <x:v>0</x:v>
      </x:c>
      <x:c r="AH133" s="38" t="n">
        <x:v>0</x:v>
      </x:c>
      <x:c r="AI133" s="38" t="n">
        <x:v>0</x:v>
      </x:c>
      <x:c r="AJ133" s="38" t="n">
        <x:v>1</x:v>
      </x:c>
      <x:c r="AK133" s="38" t="n">
        <x:v>0</x:v>
      </x:c>
      <x:c r="AL133" s="38" t="n">
        <x:v>0.5</x:v>
      </x:c>
      <x:c r="AM133" s="38" t="n">
        <x:v>0.5</x:v>
      </x:c>
      <x:c r="AN133" s="38" t="n">
        <x:v>1</x:v>
      </x:c>
      <x:c r="AO133" s="38" t="n">
        <x:v>1</x:v>
      </x:c>
      <x:c r="AP133" s="38" t="n">
        <x:v>0</x:v>
      </x:c>
      <x:c r="AQ133" s="28" t="str">
        <x:v>初始/优化角度逐值相同与步数并存是可审计现象；输出cost非零不能证明cost改变，也不能排除记录别名或原地更新。</x:v>
      </x:c>
      <x:c r="AR133" s="28" t="str">
        <x:v>https://raw.githubusercontent.com/ZYDTR/truthinsightbench-dwf-scoring/main/runs/Physics_05_variational_circuit_simulation/workspace/output/Result.md</x:v>
      </x:c>
      <x:c r="AS133" s="28" t="str">
        <x:v>待核验；暂不计入</x:v>
      </x:c>
    </x:row>
  </x:sheetData>
  <x:mergeCells>
    <x:mergeCell ref="A1:AS1"/>
    <x:mergeCell ref="A2:AS2"/>
  </x:mergeCells>
  <x:conditionalFormatting sqref="G6:G133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{1C2209C1-194E-7199-1AF3-9B3388E5EAA9}</x14:id>
        </x:ext>
      </x:extLst>
    </x:cfRule>
  </x:conditionalFormatting>
  <x:dataValidations count="1">
    <x:dataValidation type="list" sqref="N6:AP133">
      <x:formula1>"0,0.5,1"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C2209C1-194E-7199-1AF3-9B3388E5EAA9}">
            <x14:dataBar gradient="1">
              <x14:cfvo type="min"/>
              <x14:cfvo type="max"/>
              <x14:fillColor rgb="FF0F766E"/>
            </x14:dataBar>
          </x14:cfRule>
          <xm:sqref>G6:G133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65" hidden="0" customWidth="1"/>
  </x:cols>
  <x:sheetData>
    <x:row r="1" ht="32" customHeight="1">
      <x:c r="A1" s="17" t="str">
        <x:v>125条去重后发现｜按组取最高分</x:v>
      </x:c>
      <x:c r="B1" s="17"/>
      <x:c r="C1" s="17"/>
      <x:c r="D1" s="17"/>
      <x:c r="E1" s="17"/>
      <x:c r="F1" s="17"/>
      <x:c r="G1" s="17"/>
      <x:c r="H1" s="17"/>
    </x:row>
    <x:row r="2" ht="38" customHeight="1">
      <x:c r="A2" s="21" t="str">
        <x:v>3组人工合并保留完整成员与理由。组分数取成员最高分；数量资格严格按组分数≥40。</x:v>
      </x:c>
      <x:c r="B2" s="21"/>
      <x:c r="C2" s="21"/>
      <x:c r="D2" s="21"/>
      <x:c r="E2" s="21"/>
      <x:c r="F2" s="21"/>
      <x:c r="G2" s="21"/>
      <x:c r="H2" s="21"/>
    </x:row>
    <x:row r="3" ht="28" customHeight="1">
      <x:c r="A3" s="14"/>
      <x:c r="B3" s="14"/>
      <x:c r="C3" s="14"/>
      <x:c r="D3" s="14"/>
      <x:c r="E3" s="14"/>
      <x:c r="F3" s="14"/>
      <x:c r="G3" s="14"/>
      <x:c r="H3" s="14"/>
    </x:row>
    <x:row r="4" ht="28" customHeight="1">
      <x:c r="A4" s="14"/>
      <x:c r="B4" s="14"/>
      <x:c r="C4" s="14"/>
      <x:c r="D4" s="14"/>
      <x:c r="E4" s="14"/>
      <x:c r="F4" s="14"/>
      <x:c r="G4" s="14"/>
      <x:c r="H4" s="14"/>
    </x:row>
    <x:row r="5" ht="30" customHeight="1">
      <x:c r="A5" s="5" t="str">
        <x:v>任务ID</x:v>
      </x:c>
      <x:c r="B5" s="5" t="str">
        <x:v>组ID</x:v>
      </x:c>
      <x:c r="C5" s="5" t="str">
        <x:v>成员</x:v>
      </x:c>
      <x:c r="D5" s="5" t="str">
        <x:v>当前代表记录</x:v>
      </x:c>
      <x:c r="E5" s="5" t="str">
        <x:v>组分数</x:v>
      </x:c>
      <x:c r="F5" s="5" t="str">
        <x:v>合格标记</x:v>
      </x:c>
      <x:c r="G5" s="5" t="str">
        <x:v>错误数</x:v>
      </x:c>
      <x:c r="H5" s="5" t="str">
        <x:v>去重理由</x:v>
      </x:c>
    </x:row>
    <x:row r="6" ht="34" customHeight="1">
      <x:c r="A6" s="14" t="str">
        <x:v>Astronomy_01_radio_burst_drift</x:v>
      </x:c>
      <x:c r="B6" s="14" t="str">
        <x:v>G1</x:v>
      </x:c>
      <x:c r="C6" s="14" t="str">
        <x:v>F1</x:v>
      </x:c>
      <x:c r="D6" s="14" t="str">
        <x:v>F1</x:v>
      </x:c>
      <x:c r="E6" s="36" t="n">
        <x:f>MAX('发现明细'!G6)</x:f>
        <x:v>66.5</x:v>
      </x:c>
      <x:c r="F6" s="14" t="n">
        <x:f>IF(E6&gt;='参数'!$B$2,1,0)</x:f>
        <x:v>1</x:v>
      </x:c>
      <x:c r="G6" s="14" t="n">
        <x:v>0</x:v>
      </x:c>
      <x:c r="H6" s="28" t="str">
        <x:v>独立保留</x:v>
      </x:c>
    </x:row>
    <x:row r="7" ht="34" customHeight="1">
      <x:c r="A7" s="14" t="str">
        <x:v>Astronomy_01_radio_burst_drift</x:v>
      </x:c>
      <x:c r="B7" s="14" t="str">
        <x:v>G2</x:v>
      </x:c>
      <x:c r="C7" s="14" t="str">
        <x:v>F2</x:v>
      </x:c>
      <x:c r="D7" s="14" t="str">
        <x:v>F2</x:v>
      </x:c>
      <x:c r="E7" s="36" t="n">
        <x:f>MAX('发现明细'!G7)</x:f>
        <x:v>61</x:v>
      </x:c>
      <x:c r="F7" s="14" t="n">
        <x:f>IF(E7&gt;='参数'!$B$2,1,0)</x:f>
        <x:v>1</x:v>
      </x:c>
      <x:c r="G7" s="14" t="n">
        <x:v>0</x:v>
      </x:c>
      <x:c r="H7" s="28" t="str">
        <x:v>独立保留</x:v>
      </x:c>
    </x:row>
    <x:row r="8" ht="34" customHeight="1">
      <x:c r="A8" s="14" t="str">
        <x:v>Astronomy_01_radio_burst_drift</x:v>
      </x:c>
      <x:c r="B8" s="14" t="str">
        <x:v>G3</x:v>
      </x:c>
      <x:c r="C8" s="14" t="str">
        <x:v>F4</x:v>
      </x:c>
      <x:c r="D8" s="14" t="str">
        <x:v>F4</x:v>
      </x:c>
      <x:c r="E8" s="36" t="n">
        <x:f>MAX('发现明细'!G9)</x:f>
        <x:v>60.5</x:v>
      </x:c>
      <x:c r="F8" s="14" t="n">
        <x:f>IF(E8&gt;='参数'!$B$2,1,0)</x:f>
        <x:v>1</x:v>
      </x:c>
      <x:c r="G8" s="14" t="n">
        <x:v>0</x:v>
      </x:c>
      <x:c r="H8" s="28" t="str">
        <x:v>独立保留</x:v>
      </x:c>
    </x:row>
    <x:row r="9" ht="34" customHeight="1">
      <x:c r="A9" s="14" t="str">
        <x:v>Astronomy_01_radio_burst_drift</x:v>
      </x:c>
      <x:c r="B9" s="14" t="str">
        <x:v>G4</x:v>
      </x:c>
      <x:c r="C9" s="14" t="str">
        <x:v>F3</x:v>
      </x:c>
      <x:c r="D9" s="14" t="str">
        <x:v>F3</x:v>
      </x:c>
      <x:c r="E9" s="36" t="n">
        <x:f>MAX('发现明细'!G8)</x:f>
        <x:v>58.5</x:v>
      </x:c>
      <x:c r="F9" s="14" t="n">
        <x:f>IF(E9&gt;='参数'!$B$2,1,0)</x:f>
        <x:v>1</x:v>
      </x:c>
      <x:c r="G9" s="14" t="n">
        <x:v>0</x:v>
      </x:c>
      <x:c r="H9" s="28" t="str">
        <x:v>独立保留</x:v>
      </x:c>
    </x:row>
    <x:row r="10" ht="34" customHeight="1">
      <x:c r="A10" s="14" t="str">
        <x:v>Astronomy_01_radio_burst_drift</x:v>
      </x:c>
      <x:c r="B10" s="14" t="str">
        <x:v>G5</x:v>
      </x:c>
      <x:c r="C10" s="14" t="str">
        <x:v>F5</x:v>
      </x:c>
      <x:c r="D10" s="14" t="str">
        <x:v>F5</x:v>
      </x:c>
      <x:c r="E10" s="36" t="n">
        <x:f>MAX('发现明细'!G10)</x:f>
        <x:v>58.5</x:v>
      </x:c>
      <x:c r="F10" s="14" t="n">
        <x:f>IF(E10&gt;='参数'!$B$2,1,0)</x:f>
        <x:v>1</x:v>
      </x:c>
      <x:c r="G10" s="14" t="n">
        <x:v>0</x:v>
      </x:c>
      <x:c r="H10" s="28" t="str">
        <x:v>独立保留</x:v>
      </x:c>
    </x:row>
    <x:row r="11" ht="34" customHeight="1">
      <x:c r="A11" s="14" t="str">
        <x:v>Astronomy_02_gravity_spectral_structure</x:v>
      </x:c>
      <x:c r="B11" s="14" t="str">
        <x:v>G1</x:v>
      </x:c>
      <x:c r="C11" s="14" t="str">
        <x:v>F3</x:v>
      </x:c>
      <x:c r="D11" s="14" t="str">
        <x:v>F3</x:v>
      </x:c>
      <x:c r="E11" s="36" t="n">
        <x:f>MAX('发现明细'!G13)</x:f>
        <x:v>66.5</x:v>
      </x:c>
      <x:c r="F11" s="14" t="n">
        <x:f>IF(E11&gt;='参数'!$B$2,1,0)</x:f>
        <x:v>1</x:v>
      </x:c>
      <x:c r="G11" s="14" t="n">
        <x:v>0</x:v>
      </x:c>
      <x:c r="H11" s="28" t="str">
        <x:v>独立保留</x:v>
      </x:c>
    </x:row>
    <x:row r="12" ht="34" customHeight="1">
      <x:c r="A12" s="14" t="str">
        <x:v>Astronomy_02_gravity_spectral_structure</x:v>
      </x:c>
      <x:c r="B12" s="14" t="str">
        <x:v>G2</x:v>
      </x:c>
      <x:c r="C12" s="14" t="str">
        <x:v>F2</x:v>
      </x:c>
      <x:c r="D12" s="14" t="str">
        <x:v>F2</x:v>
      </x:c>
      <x:c r="E12" s="36" t="n">
        <x:f>MAX('发现明细'!G12)</x:f>
        <x:v>66</x:v>
      </x:c>
      <x:c r="F12" s="14" t="n">
        <x:f>IF(E12&gt;='参数'!$B$2,1,0)</x:f>
        <x:v>1</x:v>
      </x:c>
      <x:c r="G12" s="14" t="n">
        <x:v>0</x:v>
      </x:c>
      <x:c r="H12" s="28" t="str">
        <x:v>独立保留</x:v>
      </x:c>
    </x:row>
    <x:row r="13" ht="34" customHeight="1">
      <x:c r="A13" s="14" t="str">
        <x:v>Astronomy_02_gravity_spectral_structure</x:v>
      </x:c>
      <x:c r="B13" s="14" t="str">
        <x:v>G3</x:v>
      </x:c>
      <x:c r="C13" s="14" t="str">
        <x:v>F5</x:v>
      </x:c>
      <x:c r="D13" s="14" t="str">
        <x:v>F5</x:v>
      </x:c>
      <x:c r="E13" s="36" t="n">
        <x:f>MAX('发现明细'!G15)</x:f>
        <x:v>65.5</x:v>
      </x:c>
      <x:c r="F13" s="14" t="n">
        <x:f>IF(E13&gt;='参数'!$B$2,1,0)</x:f>
        <x:v>1</x:v>
      </x:c>
      <x:c r="G13" s="14" t="n">
        <x:v>0</x:v>
      </x:c>
      <x:c r="H13" s="28" t="str">
        <x:v>独立保留</x:v>
      </x:c>
    </x:row>
    <x:row r="14" ht="34" customHeight="1">
      <x:c r="A14" s="14" t="str">
        <x:v>Astronomy_02_gravity_spectral_structure</x:v>
      </x:c>
      <x:c r="B14" s="14" t="str">
        <x:v>G4</x:v>
      </x:c>
      <x:c r="C14" s="14" t="str">
        <x:v>F1</x:v>
      </x:c>
      <x:c r="D14" s="14" t="str">
        <x:v>F1</x:v>
      </x:c>
      <x:c r="E14" s="36" t="n">
        <x:f>MAX('发现明细'!G11)</x:f>
        <x:v>65</x:v>
      </x:c>
      <x:c r="F14" s="14" t="n">
        <x:f>IF(E14&gt;='参数'!$B$2,1,0)</x:f>
        <x:v>1</x:v>
      </x:c>
      <x:c r="G14" s="14" t="n">
        <x:v>0</x:v>
      </x:c>
      <x:c r="H14" s="28" t="str">
        <x:v>独立保留</x:v>
      </x:c>
    </x:row>
    <x:row r="15" ht="34" customHeight="1">
      <x:c r="A15" s="14" t="str">
        <x:v>Astronomy_02_gravity_spectral_structure</x:v>
      </x:c>
      <x:c r="B15" s="14" t="str">
        <x:v>G5</x:v>
      </x:c>
      <x:c r="C15" s="14" t="str">
        <x:v>F4</x:v>
      </x:c>
      <x:c r="D15" s="14" t="str">
        <x:v>F4</x:v>
      </x:c>
      <x:c r="E15" s="36" t="n">
        <x:f>MAX('发现明细'!G14)</x:f>
        <x:v>61</x:v>
      </x:c>
      <x:c r="F15" s="14" t="n">
        <x:f>IF(E15&gt;='参数'!$B$2,1,0)</x:f>
        <x:v>1</x:v>
      </x:c>
      <x:c r="G15" s="14" t="n">
        <x:v>0</x:v>
      </x:c>
      <x:c r="H15" s="28" t="str">
        <x:v>独立保留</x:v>
      </x:c>
    </x:row>
    <x:row r="16" ht="34" customHeight="1">
      <x:c r="A16" s="14" t="str">
        <x:v>Astronomy_03_stellar_spectral_boundary</x:v>
      </x:c>
      <x:c r="B16" s="14" t="str">
        <x:v>G1</x:v>
      </x:c>
      <x:c r="C16" s="14" t="str">
        <x:v>F3</x:v>
      </x:c>
      <x:c r="D16" s="14" t="str">
        <x:v>F3</x:v>
      </x:c>
      <x:c r="E16" s="36" t="n">
        <x:f>MAX('发现明细'!G18)</x:f>
        <x:v>67.5</x:v>
      </x:c>
      <x:c r="F16" s="14" t="n">
        <x:f>IF(E16&gt;='参数'!$B$2,1,0)</x:f>
        <x:v>1</x:v>
      </x:c>
      <x:c r="G16" s="14" t="n">
        <x:v>0</x:v>
      </x:c>
      <x:c r="H16" s="28" t="str">
        <x:v>独立保留</x:v>
      </x:c>
    </x:row>
    <x:row r="17" ht="34" customHeight="1">
      <x:c r="A17" s="14" t="str">
        <x:v>Astronomy_03_stellar_spectral_boundary</x:v>
      </x:c>
      <x:c r="B17" s="14" t="str">
        <x:v>G2</x:v>
      </x:c>
      <x:c r="C17" s="14" t="str">
        <x:v>F4</x:v>
      </x:c>
      <x:c r="D17" s="14" t="str">
        <x:v>F4</x:v>
      </x:c>
      <x:c r="E17" s="36" t="n">
        <x:f>MAX('发现明细'!G19)</x:f>
        <x:v>67</x:v>
      </x:c>
      <x:c r="F17" s="14" t="n">
        <x:f>IF(E17&gt;='参数'!$B$2,1,0)</x:f>
        <x:v>1</x:v>
      </x:c>
      <x:c r="G17" s="14" t="n">
        <x:v>0</x:v>
      </x:c>
      <x:c r="H17" s="28" t="str">
        <x:v>独立保留</x:v>
      </x:c>
    </x:row>
    <x:row r="18" ht="34" customHeight="1">
      <x:c r="A18" s="14" t="str">
        <x:v>Astronomy_03_stellar_spectral_boundary</x:v>
      </x:c>
      <x:c r="B18" s="14" t="str">
        <x:v>G3</x:v>
      </x:c>
      <x:c r="C18" s="14" t="str">
        <x:v>F2</x:v>
      </x:c>
      <x:c r="D18" s="14" t="str">
        <x:v>F2</x:v>
      </x:c>
      <x:c r="E18" s="36" t="n">
        <x:f>MAX('发现明细'!G17)</x:f>
        <x:v>66.5</x:v>
      </x:c>
      <x:c r="F18" s="14" t="n">
        <x:f>IF(E18&gt;='参数'!$B$2,1,0)</x:f>
        <x:v>1</x:v>
      </x:c>
      <x:c r="G18" s="14" t="n">
        <x:v>0</x:v>
      </x:c>
      <x:c r="H18" s="28" t="str">
        <x:v>独立保留</x:v>
      </x:c>
    </x:row>
    <x:row r="19" ht="34" customHeight="1">
      <x:c r="A19" s="14" t="str">
        <x:v>Astronomy_03_stellar_spectral_boundary</x:v>
      </x:c>
      <x:c r="B19" s="14" t="str">
        <x:v>G4</x:v>
      </x:c>
      <x:c r="C19" s="14" t="str">
        <x:v>F1</x:v>
      </x:c>
      <x:c r="D19" s="14" t="str">
        <x:v>F1</x:v>
      </x:c>
      <x:c r="E19" s="36" t="n">
        <x:f>MAX('发现明细'!G16)</x:f>
        <x:v>65</x:v>
      </x:c>
      <x:c r="F19" s="14" t="n">
        <x:f>IF(E19&gt;='参数'!$B$2,1,0)</x:f>
        <x:v>1</x:v>
      </x:c>
      <x:c r="G19" s="14" t="n">
        <x:v>0</x:v>
      </x:c>
      <x:c r="H19" s="28" t="str">
        <x:v>独立保留</x:v>
      </x:c>
    </x:row>
    <x:row r="20" ht="34" customHeight="1">
      <x:c r="A20" s="14" t="str">
        <x:v>Chemistry_01_bond_enthalpy_domain</x:v>
      </x:c>
      <x:c r="B20" s="14" t="str">
        <x:v>G1</x:v>
      </x:c>
      <x:c r="C20" s="14" t="str">
        <x:v>F5</x:v>
      </x:c>
      <x:c r="D20" s="14" t="str">
        <x:v>F5</x:v>
      </x:c>
      <x:c r="E20" s="36" t="n">
        <x:f>MAX('发现明细'!G24)</x:f>
        <x:v>66.5</x:v>
      </x:c>
      <x:c r="F20" s="14" t="n">
        <x:f>IF(E20&gt;='参数'!$B$2,1,0)</x:f>
        <x:v>1</x:v>
      </x:c>
      <x:c r="G20" s="14" t="n">
        <x:v>0</x:v>
      </x:c>
      <x:c r="H20" s="28" t="str">
        <x:v>独立保留</x:v>
      </x:c>
    </x:row>
    <x:row r="21" ht="34" customHeight="1">
      <x:c r="A21" s="14" t="str">
        <x:v>Chemistry_01_bond_enthalpy_domain</x:v>
      </x:c>
      <x:c r="B21" s="14" t="str">
        <x:v>G2</x:v>
      </x:c>
      <x:c r="C21" s="14" t="str">
        <x:v>F4</x:v>
      </x:c>
      <x:c r="D21" s="14" t="str">
        <x:v>F4</x:v>
      </x:c>
      <x:c r="E21" s="36" t="n">
        <x:f>MAX('发现明细'!G23)</x:f>
        <x:v>61</x:v>
      </x:c>
      <x:c r="F21" s="14" t="n">
        <x:f>IF(E21&gt;='参数'!$B$2,1,0)</x:f>
        <x:v>1</x:v>
      </x:c>
      <x:c r="G21" s="14" t="n">
        <x:v>0</x:v>
      </x:c>
      <x:c r="H21" s="28" t="str">
        <x:v>独立保留</x:v>
      </x:c>
    </x:row>
    <x:row r="22" ht="34" customHeight="1">
      <x:c r="A22" s="14" t="str">
        <x:v>Chemistry_01_bond_enthalpy_domain</x:v>
      </x:c>
      <x:c r="B22" s="14" t="str">
        <x:v>G3</x:v>
      </x:c>
      <x:c r="C22" s="14" t="str">
        <x:v>F3</x:v>
      </x:c>
      <x:c r="D22" s="14" t="str">
        <x:v>F3</x:v>
      </x:c>
      <x:c r="E22" s="36" t="n">
        <x:f>MAX('发现明细'!G22)</x:f>
        <x:v>60.5</x:v>
      </x:c>
      <x:c r="F22" s="14" t="n">
        <x:f>IF(E22&gt;='参数'!$B$2,1,0)</x:f>
        <x:v>1</x:v>
      </x:c>
      <x:c r="G22" s="14" t="n">
        <x:v>0</x:v>
      </x:c>
      <x:c r="H22" s="28" t="str">
        <x:v>独立保留</x:v>
      </x:c>
    </x:row>
    <x:row r="23" ht="34" customHeight="1">
      <x:c r="A23" s="14" t="str">
        <x:v>Chemistry_01_bond_enthalpy_domain</x:v>
      </x:c>
      <x:c r="B23" s="14" t="str">
        <x:v>G4</x:v>
      </x:c>
      <x:c r="C23" s="14" t="str">
        <x:v>F1</x:v>
      </x:c>
      <x:c r="D23" s="14" t="str">
        <x:v>F1</x:v>
      </x:c>
      <x:c r="E23" s="36" t="n">
        <x:f>MAX('发现明细'!G20)</x:f>
        <x:v>60</x:v>
      </x:c>
      <x:c r="F23" s="14" t="n">
        <x:f>IF(E23&gt;='参数'!$B$2,1,0)</x:f>
        <x:v>1</x:v>
      </x:c>
      <x:c r="G23" s="14" t="n">
        <x:v>0</x:v>
      </x:c>
      <x:c r="H23" s="28" t="str">
        <x:v>独立保留</x:v>
      </x:c>
    </x:row>
    <x:row r="24" ht="34" customHeight="1">
      <x:c r="A24" s="14" t="str">
        <x:v>Chemistry_01_bond_enthalpy_domain</x:v>
      </x:c>
      <x:c r="B24" s="14" t="str">
        <x:v>G5</x:v>
      </x:c>
      <x:c r="C24" s="14" t="str">
        <x:v>F2</x:v>
      </x:c>
      <x:c r="D24" s="14" t="str">
        <x:v>F2</x:v>
      </x:c>
      <x:c r="E24" s="36" t="n">
        <x:f>MAX('发现明细'!G21)</x:f>
        <x:v>59</x:v>
      </x:c>
      <x:c r="F24" s="14" t="n">
        <x:f>IF(E24&gt;='参数'!$B$2,1,0)</x:f>
        <x:v>1</x:v>
      </x:c>
      <x:c r="G24" s="14" t="n">
        <x:v>0</x:v>
      </x:c>
      <x:c r="H24" s="28" t="str">
        <x:v>独立保留</x:v>
      </x:c>
    </x:row>
    <x:row r="25" ht="34" customHeight="1">
      <x:c r="A25" s="14" t="str">
        <x:v>Chemistry_02_photoionization_delay</x:v>
      </x:c>
      <x:c r="B25" s="14" t="str">
        <x:v>G1</x:v>
      </x:c>
      <x:c r="C25" s="14" t="str">
        <x:v>F4</x:v>
      </x:c>
      <x:c r="D25" s="14" t="str">
        <x:v>F4</x:v>
      </x:c>
      <x:c r="E25" s="36" t="n">
        <x:f>MAX('发现明细'!G28)</x:f>
        <x:v>67.5</x:v>
      </x:c>
      <x:c r="F25" s="14" t="n">
        <x:f>IF(E25&gt;='参数'!$B$2,1,0)</x:f>
        <x:v>1</x:v>
      </x:c>
      <x:c r="G25" s="14" t="n">
        <x:v>0</x:v>
      </x:c>
      <x:c r="H25" s="28" t="str">
        <x:v>独立保留</x:v>
      </x:c>
    </x:row>
    <x:row r="26" ht="34" customHeight="1">
      <x:c r="A26" s="14" t="str">
        <x:v>Chemistry_02_photoionization_delay</x:v>
      </x:c>
      <x:c r="B26" s="14" t="str">
        <x:v>G2</x:v>
      </x:c>
      <x:c r="C26" s="14" t="str">
        <x:v>F3</x:v>
      </x:c>
      <x:c r="D26" s="14" t="str">
        <x:v>F3</x:v>
      </x:c>
      <x:c r="E26" s="36" t="n">
        <x:f>MAX('发现明细'!G27)</x:f>
        <x:v>66.5</x:v>
      </x:c>
      <x:c r="F26" s="14" t="n">
        <x:f>IF(E26&gt;='参数'!$B$2,1,0)</x:f>
        <x:v>1</x:v>
      </x:c>
      <x:c r="G26" s="14" t="n">
        <x:v>0</x:v>
      </x:c>
      <x:c r="H26" s="28" t="str">
        <x:v>独立保留</x:v>
      </x:c>
    </x:row>
    <x:row r="27" ht="34" customHeight="1">
      <x:c r="A27" s="14" t="str">
        <x:v>Chemistry_02_photoionization_delay</x:v>
      </x:c>
      <x:c r="B27" s="14" t="str">
        <x:v>G3</x:v>
      </x:c>
      <x:c r="C27" s="14" t="str">
        <x:v>F1</x:v>
      </x:c>
      <x:c r="D27" s="14" t="str">
        <x:v>F1</x:v>
      </x:c>
      <x:c r="E27" s="36" t="n">
        <x:f>MAX('发现明细'!G25)</x:f>
        <x:v>65</x:v>
      </x:c>
      <x:c r="F27" s="14" t="n">
        <x:f>IF(E27&gt;='参数'!$B$2,1,0)</x:f>
        <x:v>1</x:v>
      </x:c>
      <x:c r="G27" s="14" t="n">
        <x:v>0</x:v>
      </x:c>
      <x:c r="H27" s="28" t="str">
        <x:v>独立保留</x:v>
      </x:c>
    </x:row>
    <x:row r="28" ht="34" customHeight="1">
      <x:c r="A28" s="14" t="str">
        <x:v>Chemistry_02_photoionization_delay</x:v>
      </x:c>
      <x:c r="B28" s="14" t="str">
        <x:v>G4</x:v>
      </x:c>
      <x:c r="C28" s="14" t="str">
        <x:v>F2</x:v>
      </x:c>
      <x:c r="D28" s="14" t="str">
        <x:v>F2</x:v>
      </x:c>
      <x:c r="E28" s="36" t="n">
        <x:f>MAX('发现明细'!G26)</x:f>
        <x:v>61.5</x:v>
      </x:c>
      <x:c r="F28" s="14" t="n">
        <x:f>IF(E28&gt;='参数'!$B$2,1,0)</x:f>
        <x:v>1</x:v>
      </x:c>
      <x:c r="G28" s="14" t="n">
        <x:v>0</x:v>
      </x:c>
      <x:c r="H28" s="28" t="str">
        <x:v>独立保留</x:v>
      </x:c>
    </x:row>
    <x:row r="29" ht="34" customHeight="1">
      <x:c r="A29" s="14" t="str">
        <x:v>Chemistry_02_photoionization_delay</x:v>
      </x:c>
      <x:c r="B29" s="14" t="str">
        <x:v>G5</x:v>
      </x:c>
      <x:c r="C29" s="14" t="str">
        <x:v>F5</x:v>
      </x:c>
      <x:c r="D29" s="14" t="str">
        <x:v>F5</x:v>
      </x:c>
      <x:c r="E29" s="36" t="n">
        <x:f>MAX('发现明细'!G29)</x:f>
        <x:v>60</x:v>
      </x:c>
      <x:c r="F29" s="14" t="n">
        <x:f>IF(E29&gt;='参数'!$B$2,1,0)</x:f>
        <x:v>1</x:v>
      </x:c>
      <x:c r="G29" s="14" t="n">
        <x:v>0</x:v>
      </x:c>
      <x:c r="H29" s="28" t="str">
        <x:v>独立保留</x:v>
      </x:c>
    </x:row>
    <x:row r="30" ht="34" customHeight="1">
      <x:c r="A30" s="14" t="str">
        <x:v>Chemistry_03_catalysis_response_landscape</x:v>
      </x:c>
      <x:c r="B30" s="14" t="str">
        <x:v>G1</x:v>
      </x:c>
      <x:c r="C30" s="14" t="str">
        <x:v>F2</x:v>
      </x:c>
      <x:c r="D30" s="14" t="str">
        <x:v>F2</x:v>
      </x:c>
      <x:c r="E30" s="36" t="n">
        <x:f>MAX('发现明细'!G31)</x:f>
        <x:v>69</x:v>
      </x:c>
      <x:c r="F30" s="14" t="n">
        <x:f>IF(E30&gt;='参数'!$B$2,1,0)</x:f>
        <x:v>1</x:v>
      </x:c>
      <x:c r="G30" s="14" t="n">
        <x:v>0</x:v>
      </x:c>
      <x:c r="H30" s="28" t="str">
        <x:v>独立保留</x:v>
      </x:c>
    </x:row>
    <x:row r="31" ht="34" customHeight="1">
      <x:c r="A31" s="14" t="str">
        <x:v>Chemistry_03_catalysis_response_landscape</x:v>
      </x:c>
      <x:c r="B31" s="14" t="str">
        <x:v>G2</x:v>
      </x:c>
      <x:c r="C31" s="14" t="str">
        <x:v>F1</x:v>
      </x:c>
      <x:c r="D31" s="14" t="str">
        <x:v>F1</x:v>
      </x:c>
      <x:c r="E31" s="36" t="n">
        <x:f>MAX('发现明细'!G30)</x:f>
        <x:v>68.5</x:v>
      </x:c>
      <x:c r="F31" s="14" t="n">
        <x:f>IF(E31&gt;='参数'!$B$2,1,0)</x:f>
        <x:v>1</x:v>
      </x:c>
      <x:c r="G31" s="14" t="n">
        <x:v>0</x:v>
      </x:c>
      <x:c r="H31" s="28" t="str">
        <x:v>独立保留</x:v>
      </x:c>
    </x:row>
    <x:row r="32" ht="34" customHeight="1">
      <x:c r="A32" s="14" t="str">
        <x:v>Chemistry_03_catalysis_response_landscape</x:v>
      </x:c>
      <x:c r="B32" s="14" t="str">
        <x:v>G3</x:v>
      </x:c>
      <x:c r="C32" s="14" t="str">
        <x:v>F4</x:v>
      </x:c>
      <x:c r="D32" s="14" t="str">
        <x:v>F4</x:v>
      </x:c>
      <x:c r="E32" s="36" t="n">
        <x:f>MAX('发现明细'!G33)</x:f>
        <x:v>68.5</x:v>
      </x:c>
      <x:c r="F32" s="14" t="n">
        <x:f>IF(E32&gt;='参数'!$B$2,1,0)</x:f>
        <x:v>1</x:v>
      </x:c>
      <x:c r="G32" s="14" t="n">
        <x:v>0</x:v>
      </x:c>
      <x:c r="H32" s="28" t="str">
        <x:v>独立保留</x:v>
      </x:c>
    </x:row>
    <x:row r="33" ht="34" customHeight="1">
      <x:c r="A33" s="14" t="str">
        <x:v>Chemistry_03_catalysis_response_landscape</x:v>
      </x:c>
      <x:c r="B33" s="14" t="str">
        <x:v>G4</x:v>
      </x:c>
      <x:c r="C33" s="14" t="str">
        <x:v>F5</x:v>
      </x:c>
      <x:c r="D33" s="14" t="str">
        <x:v>F5</x:v>
      </x:c>
      <x:c r="E33" s="36" t="n">
        <x:f>MAX('发现明细'!G34)</x:f>
        <x:v>66.5</x:v>
      </x:c>
      <x:c r="F33" s="14" t="n">
        <x:f>IF(E33&gt;='参数'!$B$2,1,0)</x:f>
        <x:v>1</x:v>
      </x:c>
      <x:c r="G33" s="14" t="n">
        <x:v>0</x:v>
      </x:c>
      <x:c r="H33" s="28" t="str">
        <x:v>独立保留</x:v>
      </x:c>
    </x:row>
    <x:row r="34" ht="34" customHeight="1">
      <x:c r="A34" s="14" t="str">
        <x:v>Chemistry_03_catalysis_response_landscape</x:v>
      </x:c>
      <x:c r="B34" s="14" t="str">
        <x:v>G5</x:v>
      </x:c>
      <x:c r="C34" s="14" t="str">
        <x:v>F3</x:v>
      </x:c>
      <x:c r="D34" s="14" t="str">
        <x:v>F3</x:v>
      </x:c>
      <x:c r="E34" s="36" t="n">
        <x:f>MAX('发现明细'!G32)</x:f>
        <x:v>65.5</x:v>
      </x:c>
      <x:c r="F34" s="14" t="n">
        <x:f>IF(E34&gt;='参数'!$B$2,1,0)</x:f>
        <x:v>1</x:v>
      </x:c>
      <x:c r="G34" s="14" t="n">
        <x:v>0</x:v>
      </x:c>
      <x:c r="H34" s="28" t="str">
        <x:v>独立保留</x:v>
      </x:c>
    </x:row>
    <x:row r="35" ht="34" customHeight="1">
      <x:c r="A35" s="14" t="str">
        <x:v>EarthScience_01_glacial_fluvial_erosion</x:v>
      </x:c>
      <x:c r="B35" s="14" t="str">
        <x:v>G1</x:v>
      </x:c>
      <x:c r="C35" s="14" t="str">
        <x:v>F1</x:v>
      </x:c>
      <x:c r="D35" s="14" t="str">
        <x:v>F1</x:v>
      </x:c>
      <x:c r="E35" s="36" t="n">
        <x:f>MAX('发现明细'!G35)</x:f>
        <x:v>66.5</x:v>
      </x:c>
      <x:c r="F35" s="14" t="n">
        <x:f>IF(E35&gt;='参数'!$B$2,1,0)</x:f>
        <x:v>1</x:v>
      </x:c>
      <x:c r="G35" s="14" t="n">
        <x:v>0</x:v>
      </x:c>
      <x:c r="H35" s="28" t="str">
        <x:v>独立保留</x:v>
      </x:c>
    </x:row>
    <x:row r="36" ht="34" customHeight="1">
      <x:c r="A36" s="14" t="str">
        <x:v>EarthScience_01_glacial_fluvial_erosion</x:v>
      </x:c>
      <x:c r="B36" s="14" t="str">
        <x:v>G2</x:v>
      </x:c>
      <x:c r="C36" s="14" t="str">
        <x:v>F2</x:v>
      </x:c>
      <x:c r="D36" s="14" t="str">
        <x:v>F2</x:v>
      </x:c>
      <x:c r="E36" s="36" t="n">
        <x:f>MAX('发现明细'!G36)</x:f>
        <x:v>66.5</x:v>
      </x:c>
      <x:c r="F36" s="14" t="n">
        <x:f>IF(E36&gt;='参数'!$B$2,1,0)</x:f>
        <x:v>1</x:v>
      </x:c>
      <x:c r="G36" s="14" t="n">
        <x:v>0</x:v>
      </x:c>
      <x:c r="H36" s="28" t="str">
        <x:v>独立保留</x:v>
      </x:c>
    </x:row>
    <x:row r="37" ht="34" customHeight="1">
      <x:c r="A37" s="14" t="str">
        <x:v>EarthScience_01_glacial_fluvial_erosion</x:v>
      </x:c>
      <x:c r="B37" s="14" t="str">
        <x:v>G3</x:v>
      </x:c>
      <x:c r="C37" s="14" t="str">
        <x:v>F4</x:v>
      </x:c>
      <x:c r="D37" s="14" t="str">
        <x:v>F4</x:v>
      </x:c>
      <x:c r="E37" s="36" t="n">
        <x:f>MAX('发现明细'!G38)</x:f>
        <x:v>66.5</x:v>
      </x:c>
      <x:c r="F37" s="14" t="n">
        <x:f>IF(E37&gt;='参数'!$B$2,1,0)</x:f>
        <x:v>1</x:v>
      </x:c>
      <x:c r="G37" s="14" t="n">
        <x:v>0</x:v>
      </x:c>
      <x:c r="H37" s="28" t="str">
        <x:v>独立保留</x:v>
      </x:c>
    </x:row>
    <x:row r="38" ht="34" customHeight="1">
      <x:c r="A38" s="14" t="str">
        <x:v>EarthScience_01_glacial_fluvial_erosion</x:v>
      </x:c>
      <x:c r="B38" s="14" t="str">
        <x:v>G4</x:v>
      </x:c>
      <x:c r="C38" s="14" t="str">
        <x:v>F5</x:v>
      </x:c>
      <x:c r="D38" s="14" t="str">
        <x:v>F5</x:v>
      </x:c>
      <x:c r="E38" s="36" t="n">
        <x:f>MAX('发现明细'!G39)</x:f>
        <x:v>65</x:v>
      </x:c>
      <x:c r="F38" s="14" t="n">
        <x:f>IF(E38&gt;='参数'!$B$2,1,0)</x:f>
        <x:v>1</x:v>
      </x:c>
      <x:c r="G38" s="14" t="n">
        <x:v>0</x:v>
      </x:c>
      <x:c r="H38" s="28" t="str">
        <x:v>独立保留</x:v>
      </x:c>
    </x:row>
    <x:row r="39" ht="34" customHeight="1">
      <x:c r="A39" s="14" t="str">
        <x:v>EarthScience_01_glacial_fluvial_erosion</x:v>
      </x:c>
      <x:c r="B39" s="14" t="str">
        <x:v>G5</x:v>
      </x:c>
      <x:c r="C39" s="14" t="str">
        <x:v>F3</x:v>
      </x:c>
      <x:c r="D39" s="14" t="str">
        <x:v>F3</x:v>
      </x:c>
      <x:c r="E39" s="36" t="n">
        <x:f>MAX('发现明细'!G37)</x:f>
        <x:v>53</x:v>
      </x:c>
      <x:c r="F39" s="14" t="n">
        <x:f>IF(E39&gt;='参数'!$B$2,1,0)</x:f>
        <x:v>1</x:v>
      </x:c>
      <x:c r="G39" s="14" t="n">
        <x:v>0</x:v>
      </x:c>
      <x:c r="H39" s="28" t="str">
        <x:v>独立保留</x:v>
      </x:c>
    </x:row>
    <x:row r="40" ht="34" customHeight="1">
      <x:c r="A40" s="14" t="str">
        <x:v>EarthScience_02_ice_particle_composition</x:v>
      </x:c>
      <x:c r="B40" s="14" t="str">
        <x:v>G1</x:v>
      </x:c>
      <x:c r="C40" s="14" t="str">
        <x:v>F1</x:v>
      </x:c>
      <x:c r="D40" s="14" t="str">
        <x:v>F1</x:v>
      </x:c>
      <x:c r="E40" s="36" t="n">
        <x:f>MAX('发现明细'!G40)</x:f>
        <x:v>66.5</x:v>
      </x:c>
      <x:c r="F40" s="14" t="n">
        <x:f>IF(E40&gt;='参数'!$B$2,1,0)</x:f>
        <x:v>1</x:v>
      </x:c>
      <x:c r="G40" s="14" t="n">
        <x:v>0</x:v>
      </x:c>
      <x:c r="H40" s="28" t="str">
        <x:v>独立保留</x:v>
      </x:c>
    </x:row>
    <x:row r="41" ht="34" customHeight="1">
      <x:c r="A41" s="14" t="str">
        <x:v>EarthScience_02_ice_particle_composition</x:v>
      </x:c>
      <x:c r="B41" s="14" t="str">
        <x:v>G2</x:v>
      </x:c>
      <x:c r="C41" s="14" t="str">
        <x:v>F2</x:v>
      </x:c>
      <x:c r="D41" s="14" t="str">
        <x:v>F2</x:v>
      </x:c>
      <x:c r="E41" s="36" t="n">
        <x:f>MAX('发现明细'!G41)</x:f>
        <x:v>66.5</x:v>
      </x:c>
      <x:c r="F41" s="14" t="n">
        <x:f>IF(E41&gt;='参数'!$B$2,1,0)</x:f>
        <x:v>1</x:v>
      </x:c>
      <x:c r="G41" s="14" t="n">
        <x:v>0</x:v>
      </x:c>
      <x:c r="H41" s="28" t="str">
        <x:v>独立保留</x:v>
      </x:c>
    </x:row>
    <x:row r="42" ht="34" customHeight="1">
      <x:c r="A42" s="14" t="str">
        <x:v>EarthScience_02_ice_particle_composition</x:v>
      </x:c>
      <x:c r="B42" s="14" t="str">
        <x:v>G3</x:v>
      </x:c>
      <x:c r="C42" s="14" t="str">
        <x:v>F4</x:v>
      </x:c>
      <x:c r="D42" s="14" t="str">
        <x:v>F4</x:v>
      </x:c>
      <x:c r="E42" s="36" t="n">
        <x:f>MAX('发现明细'!G43)</x:f>
        <x:v>63.5</x:v>
      </x:c>
      <x:c r="F42" s="14" t="n">
        <x:f>IF(E42&gt;='参数'!$B$2,1,0)</x:f>
        <x:v>1</x:v>
      </x:c>
      <x:c r="G42" s="14" t="n">
        <x:v>0</x:v>
      </x:c>
      <x:c r="H42" s="28" t="str">
        <x:v>独立保留</x:v>
      </x:c>
    </x:row>
    <x:row r="43" ht="34" customHeight="1">
      <x:c r="A43" s="14" t="str">
        <x:v>EarthScience_02_ice_particle_composition</x:v>
      </x:c>
      <x:c r="B43" s="14" t="str">
        <x:v>G4</x:v>
      </x:c>
      <x:c r="C43" s="14" t="str">
        <x:v>F3</x:v>
      </x:c>
      <x:c r="D43" s="14" t="str">
        <x:v>F3</x:v>
      </x:c>
      <x:c r="E43" s="36" t="n">
        <x:f>MAX('发现明细'!G42)</x:f>
        <x:v>61</x:v>
      </x:c>
      <x:c r="F43" s="14" t="n">
        <x:f>IF(E43&gt;='参数'!$B$2,1,0)</x:f>
        <x:v>1</x:v>
      </x:c>
      <x:c r="G43" s="14" t="n">
        <x:v>0</x:v>
      </x:c>
      <x:c r="H43" s="28" t="str">
        <x:v>独立保留</x:v>
      </x:c>
    </x:row>
    <x:row r="44" ht="34" customHeight="1">
      <x:c r="A44" s="14" t="str">
        <x:v>EarthScience_02_ice_particle_composition</x:v>
      </x:c>
      <x:c r="B44" s="14" t="str">
        <x:v>G5</x:v>
      </x:c>
      <x:c r="C44" s="14" t="str">
        <x:v>F5</x:v>
      </x:c>
      <x:c r="D44" s="14" t="str">
        <x:v>F5</x:v>
      </x:c>
      <x:c r="E44" s="36" t="n">
        <x:f>MAX('发现明细'!G44)</x:f>
        <x:v>45.5</x:v>
      </x:c>
      <x:c r="F44" s="14" t="n">
        <x:f>IF(E44&gt;='参数'!$B$2,1,0)</x:f>
        <x:v>1</x:v>
      </x:c>
      <x:c r="G44" s="14" t="n">
        <x:v>0</x:v>
      </x:c>
      <x:c r="H44" s="28" t="str">
        <x:v>独立保留</x:v>
      </x:c>
    </x:row>
    <x:row r="45" ht="34" customHeight="1">
      <x:c r="A45" s="14" t="str">
        <x:v>EarthScience_03_ice_core_event_structure</x:v>
      </x:c>
      <x:c r="B45" s="14" t="str">
        <x:v>G1</x:v>
      </x:c>
      <x:c r="C45" s="14" t="str">
        <x:v>F2</x:v>
      </x:c>
      <x:c r="D45" s="14" t="str">
        <x:v>F2</x:v>
      </x:c>
      <x:c r="E45" s="36" t="n">
        <x:f>MAX('发现明细'!G46)</x:f>
        <x:v>68</x:v>
      </x:c>
      <x:c r="F45" s="14" t="n">
        <x:f>IF(E45&gt;='参数'!$B$2,1,0)</x:f>
        <x:v>1</x:v>
      </x:c>
      <x:c r="G45" s="14" t="n">
        <x:v>0</x:v>
      </x:c>
      <x:c r="H45" s="28" t="str">
        <x:v>独立保留</x:v>
      </x:c>
    </x:row>
    <x:row r="46" ht="34" customHeight="1">
      <x:c r="A46" s="14" t="str">
        <x:v>EarthScience_03_ice_core_event_structure</x:v>
      </x:c>
      <x:c r="B46" s="14" t="str">
        <x:v>G2</x:v>
      </x:c>
      <x:c r="C46" s="14" t="str">
        <x:v>F4</x:v>
      </x:c>
      <x:c r="D46" s="14" t="str">
        <x:v>F4</x:v>
      </x:c>
      <x:c r="E46" s="36" t="n">
        <x:f>MAX('发现明细'!G48)</x:f>
        <x:v>67</x:v>
      </x:c>
      <x:c r="F46" s="14" t="n">
        <x:f>IF(E46&gt;='参数'!$B$2,1,0)</x:f>
        <x:v>1</x:v>
      </x:c>
      <x:c r="G46" s="14" t="n">
        <x:v>0</x:v>
      </x:c>
      <x:c r="H46" s="28" t="str">
        <x:v>独立保留</x:v>
      </x:c>
    </x:row>
    <x:row r="47" ht="34" customHeight="1">
      <x:c r="A47" s="14" t="str">
        <x:v>EarthScience_03_ice_core_event_structure</x:v>
      </x:c>
      <x:c r="B47" s="14" t="str">
        <x:v>G3</x:v>
      </x:c>
      <x:c r="C47" s="14" t="str">
        <x:v>F3</x:v>
      </x:c>
      <x:c r="D47" s="14" t="str">
        <x:v>F3</x:v>
      </x:c>
      <x:c r="E47" s="36" t="n">
        <x:f>MAX('发现明细'!G47)</x:f>
        <x:v>62.5</x:v>
      </x:c>
      <x:c r="F47" s="14" t="n">
        <x:f>IF(E47&gt;='参数'!$B$2,1,0)</x:f>
        <x:v>1</x:v>
      </x:c>
      <x:c r="G47" s="14" t="n">
        <x:v>0</x:v>
      </x:c>
      <x:c r="H47" s="28" t="str">
        <x:v>独立保留</x:v>
      </x:c>
    </x:row>
    <x:row r="48" ht="34" customHeight="1">
      <x:c r="A48" s="14" t="str">
        <x:v>EarthScience_03_ice_core_event_structure</x:v>
      </x:c>
      <x:c r="B48" s="14" t="str">
        <x:v>G4</x:v>
      </x:c>
      <x:c r="C48" s="14" t="str">
        <x:v>F5</x:v>
      </x:c>
      <x:c r="D48" s="14" t="str">
        <x:v>F5</x:v>
      </x:c>
      <x:c r="E48" s="36" t="n">
        <x:f>MAX('发现明细'!G49)</x:f>
        <x:v>59</x:v>
      </x:c>
      <x:c r="F48" s="14" t="n">
        <x:f>IF(E48&gt;='参数'!$B$2,1,0)</x:f>
        <x:v>1</x:v>
      </x:c>
      <x:c r="G48" s="14" t="n">
        <x:v>0</x:v>
      </x:c>
      <x:c r="H48" s="28" t="str">
        <x:v>独立保留</x:v>
      </x:c>
    </x:row>
    <x:row r="49" ht="34" customHeight="1">
      <x:c r="A49" s="14" t="str">
        <x:v>EarthScience_03_ice_core_event_structure</x:v>
      </x:c>
      <x:c r="B49" s="14" t="str">
        <x:v>G5</x:v>
      </x:c>
      <x:c r="C49" s="14" t="str">
        <x:v>F1</x:v>
      </x:c>
      <x:c r="D49" s="14" t="str">
        <x:v>F1</x:v>
      </x:c>
      <x:c r="E49" s="36" t="n">
        <x:f>MAX('发现明细'!G45)</x:f>
        <x:v>49</x:v>
      </x:c>
      <x:c r="F49" s="14" t="n">
        <x:f>IF(E49&gt;='参数'!$B$2,1,0)</x:f>
        <x:v>1</x:v>
      </x:c>
      <x:c r="G49" s="14" t="n">
        <x:v>0</x:v>
      </x:c>
      <x:c r="H49" s="28" t="str">
        <x:v>独立保留</x:v>
      </x:c>
    </x:row>
    <x:row r="50" ht="34" customHeight="1">
      <x:c r="A50" s="14" t="str">
        <x:v>EarthScience_04_ocean_thermal_coupling</x:v>
      </x:c>
      <x:c r="B50" s="14" t="str">
        <x:v>G1</x:v>
      </x:c>
      <x:c r="C50" s="14" t="str">
        <x:v>F2</x:v>
      </x:c>
      <x:c r="D50" s="14" t="str">
        <x:v>F2</x:v>
      </x:c>
      <x:c r="E50" s="36" t="n">
        <x:f>MAX('发现明细'!G51)</x:f>
        <x:v>68.5</x:v>
      </x:c>
      <x:c r="F50" s="14" t="n">
        <x:f>IF(E50&gt;='参数'!$B$2,1,0)</x:f>
        <x:v>1</x:v>
      </x:c>
      <x:c r="G50" s="14" t="n">
        <x:v>0</x:v>
      </x:c>
      <x:c r="H50" s="28" t="str">
        <x:v>独立保留</x:v>
      </x:c>
    </x:row>
    <x:row r="51" ht="34" customHeight="1">
      <x:c r="A51" s="14" t="str">
        <x:v>EarthScience_04_ocean_thermal_coupling</x:v>
      </x:c>
      <x:c r="B51" s="14" t="str">
        <x:v>G2</x:v>
      </x:c>
      <x:c r="C51" s="14" t="str">
        <x:v>F5</x:v>
      </x:c>
      <x:c r="D51" s="14" t="str">
        <x:v>F5</x:v>
      </x:c>
      <x:c r="E51" s="36" t="n">
        <x:f>MAX('发现明细'!G54)</x:f>
        <x:v>68.5</x:v>
      </x:c>
      <x:c r="F51" s="14" t="n">
        <x:f>IF(E51&gt;='参数'!$B$2,1,0)</x:f>
        <x:v>1</x:v>
      </x:c>
      <x:c r="G51" s="14" t="n">
        <x:v>0</x:v>
      </x:c>
      <x:c r="H51" s="28" t="str">
        <x:v>独立保留</x:v>
      </x:c>
    </x:row>
    <x:row r="52" ht="34" customHeight="1">
      <x:c r="A52" s="14" t="str">
        <x:v>EarthScience_04_ocean_thermal_coupling</x:v>
      </x:c>
      <x:c r="B52" s="14" t="str">
        <x:v>G3</x:v>
      </x:c>
      <x:c r="C52" s="14" t="str">
        <x:v>F4</x:v>
      </x:c>
      <x:c r="D52" s="14" t="str">
        <x:v>F4</x:v>
      </x:c>
      <x:c r="E52" s="36" t="n">
        <x:f>MAX('发现明细'!G53)</x:f>
        <x:v>67</x:v>
      </x:c>
      <x:c r="F52" s="14" t="n">
        <x:f>IF(E52&gt;='参数'!$B$2,1,0)</x:f>
        <x:v>1</x:v>
      </x:c>
      <x:c r="G52" s="14" t="n">
        <x:v>0</x:v>
      </x:c>
      <x:c r="H52" s="28" t="str">
        <x:v>独立保留</x:v>
      </x:c>
    </x:row>
    <x:row r="53" ht="34" customHeight="1">
      <x:c r="A53" s="14" t="str">
        <x:v>EarthScience_04_ocean_thermal_coupling</x:v>
      </x:c>
      <x:c r="B53" s="14" t="str">
        <x:v>G4</x:v>
      </x:c>
      <x:c r="C53" s="14" t="str">
        <x:v>F3</x:v>
      </x:c>
      <x:c r="D53" s="14" t="str">
        <x:v>F3</x:v>
      </x:c>
      <x:c r="E53" s="36" t="n">
        <x:f>MAX('发现明细'!G52)</x:f>
        <x:v>65.5</x:v>
      </x:c>
      <x:c r="F53" s="14" t="n">
        <x:f>IF(E53&gt;='参数'!$B$2,1,0)</x:f>
        <x:v>1</x:v>
      </x:c>
      <x:c r="G53" s="14" t="n">
        <x:v>0</x:v>
      </x:c>
      <x:c r="H53" s="28" t="str">
        <x:v>独立保留</x:v>
      </x:c>
    </x:row>
    <x:row r="54" ht="34" customHeight="1">
      <x:c r="A54" s="14" t="str">
        <x:v>EarthScience_04_ocean_thermal_coupling</x:v>
      </x:c>
      <x:c r="B54" s="14" t="str">
        <x:v>G5</x:v>
      </x:c>
      <x:c r="C54" s="14" t="str">
        <x:v>F1</x:v>
      </x:c>
      <x:c r="D54" s="14" t="str">
        <x:v>F1</x:v>
      </x:c>
      <x:c r="E54" s="36" t="n">
        <x:f>MAX('发现明细'!G50)</x:f>
        <x:v>64.5</x:v>
      </x:c>
      <x:c r="F54" s="14" t="n">
        <x:f>IF(E54&gt;='参数'!$B$2,1,0)</x:f>
        <x:v>1</x:v>
      </x:c>
      <x:c r="G54" s="14" t="n">
        <x:v>0</x:v>
      </x:c>
      <x:c r="H54" s="28" t="str">
        <x:v>独立保留</x:v>
      </x:c>
    </x:row>
    <x:row r="55" ht="34" customHeight="1">
      <x:c r="A55" s="14" t="str">
        <x:v>Energy_01_photocatalytic_tradeoffs</x:v>
      </x:c>
      <x:c r="B55" s="14" t="str">
        <x:v>G1</x:v>
      </x:c>
      <x:c r="C55" s="14" t="str">
        <x:v>F1</x:v>
      </x:c>
      <x:c r="D55" s="14" t="str">
        <x:v>F1</x:v>
      </x:c>
      <x:c r="E55" s="36" t="n">
        <x:f>MAX('发现明细'!G55)</x:f>
        <x:v>68.5</x:v>
      </x:c>
      <x:c r="F55" s="14" t="n">
        <x:f>IF(E55&gt;='参数'!$B$2,1,0)</x:f>
        <x:v>1</x:v>
      </x:c>
      <x:c r="G55" s="14" t="n">
        <x:v>0</x:v>
      </x:c>
      <x:c r="H55" s="28" t="str">
        <x:v>独立保留</x:v>
      </x:c>
    </x:row>
    <x:row r="56" ht="34" customHeight="1">
      <x:c r="A56" s="14" t="str">
        <x:v>Energy_01_photocatalytic_tradeoffs</x:v>
      </x:c>
      <x:c r="B56" s="14" t="str">
        <x:v>G2</x:v>
      </x:c>
      <x:c r="C56" s="14" t="str">
        <x:v>F2</x:v>
      </x:c>
      <x:c r="D56" s="14" t="str">
        <x:v>F2</x:v>
      </x:c>
      <x:c r="E56" s="36" t="n">
        <x:f>MAX('发现明细'!G56)</x:f>
        <x:v>68.5</x:v>
      </x:c>
      <x:c r="F56" s="14" t="n">
        <x:f>IF(E56&gt;='参数'!$B$2,1,0)</x:f>
        <x:v>1</x:v>
      </x:c>
      <x:c r="G56" s="14" t="n">
        <x:v>0</x:v>
      </x:c>
      <x:c r="H56" s="28" t="str">
        <x:v>独立保留</x:v>
      </x:c>
    </x:row>
    <x:row r="57" ht="34" customHeight="1">
      <x:c r="A57" s="14" t="str">
        <x:v>Energy_01_photocatalytic_tradeoffs</x:v>
      </x:c>
      <x:c r="B57" s="14" t="str">
        <x:v>G3</x:v>
      </x:c>
      <x:c r="C57" s="14" t="str">
        <x:v>F3</x:v>
      </x:c>
      <x:c r="D57" s="14" t="str">
        <x:v>F3</x:v>
      </x:c>
      <x:c r="E57" s="36" t="n">
        <x:f>MAX('发现明细'!G57)</x:f>
        <x:v>68.5</x:v>
      </x:c>
      <x:c r="F57" s="14" t="n">
        <x:f>IF(E57&gt;='参数'!$B$2,1,0)</x:f>
        <x:v>1</x:v>
      </x:c>
      <x:c r="G57" s="14" t="n">
        <x:v>0</x:v>
      </x:c>
      <x:c r="H57" s="28" t="str">
        <x:v>独立保留</x:v>
      </x:c>
    </x:row>
    <x:row r="58" ht="34" customHeight="1">
      <x:c r="A58" s="14" t="str">
        <x:v>Energy_01_photocatalytic_tradeoffs</x:v>
      </x:c>
      <x:c r="B58" s="14" t="str">
        <x:v>G4</x:v>
      </x:c>
      <x:c r="C58" s="14" t="str">
        <x:v>F4</x:v>
      </x:c>
      <x:c r="D58" s="14" t="str">
        <x:v>F4</x:v>
      </x:c>
      <x:c r="E58" s="36" t="n">
        <x:f>MAX('发现明细'!G58)</x:f>
        <x:v>65</x:v>
      </x:c>
      <x:c r="F58" s="14" t="n">
        <x:f>IF(E58&gt;='参数'!$B$2,1,0)</x:f>
        <x:v>1</x:v>
      </x:c>
      <x:c r="G58" s="14" t="n">
        <x:v>0</x:v>
      </x:c>
      <x:c r="H58" s="28" t="str">
        <x:v>独立保留</x:v>
      </x:c>
    </x:row>
    <x:row r="59" ht="34" customHeight="1">
      <x:c r="A59" s="14" t="str">
        <x:v>Energy_01_photocatalytic_tradeoffs</x:v>
      </x:c>
      <x:c r="B59" s="14" t="str">
        <x:v>G5</x:v>
      </x:c>
      <x:c r="C59" s="14" t="str">
        <x:v>F5</x:v>
      </x:c>
      <x:c r="D59" s="14" t="str">
        <x:v>F5</x:v>
      </x:c>
      <x:c r="E59" s="36" t="n">
        <x:f>MAX('发现明细'!G59)</x:f>
        <x:v>60</x:v>
      </x:c>
      <x:c r="F59" s="14" t="n">
        <x:f>IF(E59&gt;='参数'!$B$2,1,0)</x:f>
        <x:v>1</x:v>
      </x:c>
      <x:c r="G59" s="14" t="n">
        <x:v>0</x:v>
      </x:c>
      <x:c r="H59" s="28" t="str">
        <x:v>独立保留</x:v>
      </x:c>
    </x:row>
    <x:row r="60" ht="34" customHeight="1">
      <x:c r="A60" s="14" t="str">
        <x:v>Energy_02_flow_battery_operating_boundary</x:v>
      </x:c>
      <x:c r="B60" s="14" t="str">
        <x:v>G1</x:v>
      </x:c>
      <x:c r="C60" s="14" t="str">
        <x:v>F5</x:v>
      </x:c>
      <x:c r="D60" s="14" t="str">
        <x:v>F5</x:v>
      </x:c>
      <x:c r="E60" s="36" t="n">
        <x:f>MAX('发现明细'!G64)</x:f>
        <x:v>68.5</x:v>
      </x:c>
      <x:c r="F60" s="14" t="n">
        <x:f>IF(E60&gt;='参数'!$B$2,1,0)</x:f>
        <x:v>1</x:v>
      </x:c>
      <x:c r="G60" s="14" t="n">
        <x:v>0</x:v>
      </x:c>
      <x:c r="H60" s="28" t="str">
        <x:v>独立保留</x:v>
      </x:c>
    </x:row>
    <x:row r="61" ht="34" customHeight="1">
      <x:c r="A61" s="14" t="str">
        <x:v>Energy_02_flow_battery_operating_boundary</x:v>
      </x:c>
      <x:c r="B61" s="14" t="str">
        <x:v>G2</x:v>
      </x:c>
      <x:c r="C61" s="14" t="str">
        <x:v>F1</x:v>
      </x:c>
      <x:c r="D61" s="14" t="str">
        <x:v>F1</x:v>
      </x:c>
      <x:c r="E61" s="36" t="n">
        <x:f>MAX('发现明细'!G60)</x:f>
        <x:v>65.5</x:v>
      </x:c>
      <x:c r="F61" s="14" t="n">
        <x:f>IF(E61&gt;='参数'!$B$2,1,0)</x:f>
        <x:v>1</x:v>
      </x:c>
      <x:c r="G61" s="14" t="n">
        <x:v>0</x:v>
      </x:c>
      <x:c r="H61" s="28" t="str">
        <x:v>独立保留</x:v>
      </x:c>
    </x:row>
    <x:row r="62" ht="34" customHeight="1">
      <x:c r="A62" s="14" t="str">
        <x:v>Energy_02_flow_battery_operating_boundary</x:v>
      </x:c>
      <x:c r="B62" s="14" t="str">
        <x:v>G3</x:v>
      </x:c>
      <x:c r="C62" s="14" t="str">
        <x:v>F2</x:v>
      </x:c>
      <x:c r="D62" s="14" t="str">
        <x:v>F2</x:v>
      </x:c>
      <x:c r="E62" s="36" t="n">
        <x:f>MAX('发现明细'!G61)</x:f>
        <x:v>65.5</x:v>
      </x:c>
      <x:c r="F62" s="14" t="n">
        <x:f>IF(E62&gt;='参数'!$B$2,1,0)</x:f>
        <x:v>1</x:v>
      </x:c>
      <x:c r="G62" s="14" t="n">
        <x:v>0</x:v>
      </x:c>
      <x:c r="H62" s="28" t="str">
        <x:v>独立保留</x:v>
      </x:c>
    </x:row>
    <x:row r="63" ht="34" customHeight="1">
      <x:c r="A63" s="14" t="str">
        <x:v>Energy_02_flow_battery_operating_boundary</x:v>
      </x:c>
      <x:c r="B63" s="14" t="str">
        <x:v>G4</x:v>
      </x:c>
      <x:c r="C63" s="14" t="str">
        <x:v>F3</x:v>
      </x:c>
      <x:c r="D63" s="14" t="str">
        <x:v>F3</x:v>
      </x:c>
      <x:c r="E63" s="36" t="n">
        <x:f>MAX('发现明细'!G62)</x:f>
        <x:v>65</x:v>
      </x:c>
      <x:c r="F63" s="14" t="n">
        <x:f>IF(E63&gt;='参数'!$B$2,1,0)</x:f>
        <x:v>1</x:v>
      </x:c>
      <x:c r="G63" s="14" t="n">
        <x:v>0</x:v>
      </x:c>
      <x:c r="H63" s="28" t="str">
        <x:v>独立保留</x:v>
      </x:c>
    </x:row>
    <x:row r="64" ht="34" customHeight="1">
      <x:c r="A64" s="14" t="str">
        <x:v>Energy_02_flow_battery_operating_boundary</x:v>
      </x:c>
      <x:c r="B64" s="14" t="str">
        <x:v>G5</x:v>
      </x:c>
      <x:c r="C64" s="14" t="str">
        <x:v>F4</x:v>
      </x:c>
      <x:c r="D64" s="14" t="str">
        <x:v>F4</x:v>
      </x:c>
      <x:c r="E64" s="36" t="n">
        <x:f>MAX('发现明细'!G63)</x:f>
        <x:v>65</x:v>
      </x:c>
      <x:c r="F64" s="14" t="n">
        <x:f>IF(E64&gt;='参数'!$B$2,1,0)</x:f>
        <x:v>1</x:v>
      </x:c>
      <x:c r="G64" s="14" t="n">
        <x:v>0</x:v>
      </x:c>
      <x:c r="H64" s="28" t="str">
        <x:v>独立保留</x:v>
      </x:c>
    </x:row>
    <x:row r="65" ht="34" customHeight="1">
      <x:c r="A65" s="14" t="str">
        <x:v>Energy_03_interface_response_boundaries</x:v>
      </x:c>
      <x:c r="B65" s="14" t="str">
        <x:v>G1</x:v>
      </x:c>
      <x:c r="C65" s="14" t="str">
        <x:v>F4</x:v>
      </x:c>
      <x:c r="D65" s="14" t="str">
        <x:v>F4</x:v>
      </x:c>
      <x:c r="E65" s="36" t="n">
        <x:f>MAX('发现明细'!G68)</x:f>
        <x:v>68.5</x:v>
      </x:c>
      <x:c r="F65" s="14" t="n">
        <x:f>IF(E65&gt;='参数'!$B$2,1,0)</x:f>
        <x:v>1</x:v>
      </x:c>
      <x:c r="G65" s="14" t="n">
        <x:v>0</x:v>
      </x:c>
      <x:c r="H65" s="28" t="str">
        <x:v>独立保留</x:v>
      </x:c>
    </x:row>
    <x:row r="66" ht="34" customHeight="1">
      <x:c r="A66" s="14" t="str">
        <x:v>Energy_03_interface_response_boundaries</x:v>
      </x:c>
      <x:c r="B66" s="14" t="str">
        <x:v>G2</x:v>
      </x:c>
      <x:c r="C66" s="14" t="str">
        <x:v>F1</x:v>
      </x:c>
      <x:c r="D66" s="14" t="str">
        <x:v>F1</x:v>
      </x:c>
      <x:c r="E66" s="36" t="n">
        <x:f>MAX('发现明细'!G65)</x:f>
        <x:v>66.5</x:v>
      </x:c>
      <x:c r="F66" s="14" t="n">
        <x:f>IF(E66&gt;='参数'!$B$2,1,0)</x:f>
        <x:v>1</x:v>
      </x:c>
      <x:c r="G66" s="14" t="n">
        <x:v>0</x:v>
      </x:c>
      <x:c r="H66" s="28" t="str">
        <x:v>独立保留</x:v>
      </x:c>
    </x:row>
    <x:row r="67" ht="34" customHeight="1">
      <x:c r="A67" s="14" t="str">
        <x:v>Energy_03_interface_response_boundaries</x:v>
      </x:c>
      <x:c r="B67" s="14" t="str">
        <x:v>G3</x:v>
      </x:c>
      <x:c r="C67" s="14" t="str">
        <x:v>F2</x:v>
      </x:c>
      <x:c r="D67" s="14" t="str">
        <x:v>F2</x:v>
      </x:c>
      <x:c r="E67" s="36" t="n">
        <x:f>MAX('发现明细'!G66)</x:f>
        <x:v>66.5</x:v>
      </x:c>
      <x:c r="F67" s="14" t="n">
        <x:f>IF(E67&gt;='参数'!$B$2,1,0)</x:f>
        <x:v>1</x:v>
      </x:c>
      <x:c r="G67" s="14" t="n">
        <x:v>0</x:v>
      </x:c>
      <x:c r="H67" s="28" t="str">
        <x:v>独立保留</x:v>
      </x:c>
    </x:row>
    <x:row r="68" ht="34" customHeight="1">
      <x:c r="A68" s="14" t="str">
        <x:v>Energy_03_interface_response_boundaries</x:v>
      </x:c>
      <x:c r="B68" s="14" t="str">
        <x:v>G4</x:v>
      </x:c>
      <x:c r="C68" s="14" t="str">
        <x:v>F3</x:v>
      </x:c>
      <x:c r="D68" s="14" t="str">
        <x:v>F3</x:v>
      </x:c>
      <x:c r="E68" s="36" t="n">
        <x:f>MAX('发现明细'!G67)</x:f>
        <x:v>65</x:v>
      </x:c>
      <x:c r="F68" s="14" t="n">
        <x:f>IF(E68&gt;='参数'!$B$2,1,0)</x:f>
        <x:v>1</x:v>
      </x:c>
      <x:c r="G68" s="14" t="n">
        <x:v>0</x:v>
      </x:c>
      <x:c r="H68" s="28" t="str">
        <x:v>独立保留</x:v>
      </x:c>
    </x:row>
    <x:row r="69" ht="34" customHeight="1">
      <x:c r="A69" s="14" t="str">
        <x:v>Energy_03_interface_response_boundaries</x:v>
      </x:c>
      <x:c r="B69" s="14" t="str">
        <x:v>G5</x:v>
      </x:c>
      <x:c r="C69" s="14" t="str">
        <x:v>F5</x:v>
      </x:c>
      <x:c r="D69" s="14" t="str">
        <x:v>F5</x:v>
      </x:c>
      <x:c r="E69" s="36" t="n">
        <x:f>MAX('发现明细'!G69)</x:f>
        <x:v>63.5</x:v>
      </x:c>
      <x:c r="F69" s="14" t="n">
        <x:f>IF(E69&gt;='参数'!$B$2,1,0)</x:f>
        <x:v>1</x:v>
      </x:c>
      <x:c r="G69" s="14" t="n">
        <x:v>0</x:v>
      </x:c>
      <x:c r="H69" s="28" t="str">
        <x:v>独立保留</x:v>
      </x:c>
    </x:row>
    <x:row r="70" ht="34" customHeight="1">
      <x:c r="A70" s="14" t="str">
        <x:v>Energy_04_biohybrid_operating_tradeoffs</x:v>
      </x:c>
      <x:c r="B70" s="14" t="str">
        <x:v>G1</x:v>
      </x:c>
      <x:c r="C70" s="14" t="str">
        <x:v>F3</x:v>
      </x:c>
      <x:c r="D70" s="14" t="str">
        <x:v>F3</x:v>
      </x:c>
      <x:c r="E70" s="36" t="n">
        <x:f>MAX('发现明细'!G72)</x:f>
        <x:v>66.5</x:v>
      </x:c>
      <x:c r="F70" s="14" t="n">
        <x:f>IF(E70&gt;='参数'!$B$2,1,0)</x:f>
        <x:v>1</x:v>
      </x:c>
      <x:c r="G70" s="14" t="n">
        <x:v>0</x:v>
      </x:c>
      <x:c r="H70" s="28" t="str">
        <x:v>独立保留</x:v>
      </x:c>
    </x:row>
    <x:row r="71" ht="34" customHeight="1">
      <x:c r="A71" s="14" t="str">
        <x:v>Energy_04_biohybrid_operating_tradeoffs</x:v>
      </x:c>
      <x:c r="B71" s="14" t="str">
        <x:v>G2</x:v>
      </x:c>
      <x:c r="C71" s="14" t="str">
        <x:v>F5</x:v>
      </x:c>
      <x:c r="D71" s="14" t="str">
        <x:v>F5</x:v>
      </x:c>
      <x:c r="E71" s="36" t="n">
        <x:f>MAX('发现明细'!G74)</x:f>
        <x:v>63.5</x:v>
      </x:c>
      <x:c r="F71" s="14" t="n">
        <x:f>IF(E71&gt;='参数'!$B$2,1,0)</x:f>
        <x:v>1</x:v>
      </x:c>
      <x:c r="G71" s="14" t="n">
        <x:v>0</x:v>
      </x:c>
      <x:c r="H71" s="28" t="str">
        <x:v>独立保留</x:v>
      </x:c>
    </x:row>
    <x:row r="72" ht="34" customHeight="1">
      <x:c r="A72" s="14" t="str">
        <x:v>Energy_04_biohybrid_operating_tradeoffs</x:v>
      </x:c>
      <x:c r="B72" s="14" t="str">
        <x:v>G3</x:v>
      </x:c>
      <x:c r="C72" s="14" t="str">
        <x:v>F2</x:v>
      </x:c>
      <x:c r="D72" s="14" t="str">
        <x:v>F2</x:v>
      </x:c>
      <x:c r="E72" s="36" t="n">
        <x:f>MAX('发现明细'!G71)</x:f>
        <x:v>61</x:v>
      </x:c>
      <x:c r="F72" s="14" t="n">
        <x:f>IF(E72&gt;='参数'!$B$2,1,0)</x:f>
        <x:v>1</x:v>
      </x:c>
      <x:c r="G72" s="14" t="n">
        <x:v>0</x:v>
      </x:c>
      <x:c r="H72" s="28" t="str">
        <x:v>独立保留</x:v>
      </x:c>
    </x:row>
    <x:row r="73" ht="34" customHeight="1">
      <x:c r="A73" s="14" t="str">
        <x:v>Energy_04_biohybrid_operating_tradeoffs</x:v>
      </x:c>
      <x:c r="B73" s="14" t="str">
        <x:v>G4</x:v>
      </x:c>
      <x:c r="C73" s="14" t="str">
        <x:v>F4</x:v>
      </x:c>
      <x:c r="D73" s="14" t="str">
        <x:v>F4</x:v>
      </x:c>
      <x:c r="E73" s="36" t="n">
        <x:f>MAX('发现明细'!G73)</x:f>
        <x:v>57</x:v>
      </x:c>
      <x:c r="F73" s="14" t="n">
        <x:f>IF(E73&gt;='参数'!$B$2,1,0)</x:f>
        <x:v>1</x:v>
      </x:c>
      <x:c r="G73" s="14" t="n">
        <x:v>0</x:v>
      </x:c>
      <x:c r="H73" s="28" t="str">
        <x:v>独立保留</x:v>
      </x:c>
    </x:row>
    <x:row r="74" ht="34" customHeight="1">
      <x:c r="A74" s="14" t="str">
        <x:v>Energy_04_biohybrid_operating_tradeoffs</x:v>
      </x:c>
      <x:c r="B74" s="14" t="str">
        <x:v>G5</x:v>
      </x:c>
      <x:c r="C74" s="14" t="str">
        <x:v>F1</x:v>
      </x:c>
      <x:c r="D74" s="14" t="str">
        <x:v>F1</x:v>
      </x:c>
      <x:c r="E74" s="36" t="n">
        <x:f>MAX('发现明细'!G70)</x:f>
        <x:v>50.5</x:v>
      </x:c>
      <x:c r="F74" s="14" t="n">
        <x:f>IF(E74&gt;='参数'!$B$2,1,0)</x:f>
        <x:v>1</x:v>
      </x:c>
      <x:c r="G74" s="14" t="n">
        <x:v>0</x:v>
      </x:c>
      <x:c r="H74" s="28" t="str">
        <x:v>独立保留</x:v>
      </x:c>
    </x:row>
    <x:row r="75" ht="34" customHeight="1">
      <x:c r="A75" s="14" t="str">
        <x:v>Information_03_signal_surface_invariants</x:v>
      </x:c>
      <x:c r="B75" s="14" t="str">
        <x:v>G1</x:v>
      </x:c>
      <x:c r="C75" s="14" t="str">
        <x:v>F1</x:v>
      </x:c>
      <x:c r="D75" s="14" t="str">
        <x:v>F1</x:v>
      </x:c>
      <x:c r="E75" s="36" t="n">
        <x:f>MAX('发现明细'!G75)</x:f>
        <x:v>68.5</x:v>
      </x:c>
      <x:c r="F75" s="14" t="n">
        <x:f>IF(E75&gt;='参数'!$B$2,1,0)</x:f>
        <x:v>1</x:v>
      </x:c>
      <x:c r="G75" s="14" t="n">
        <x:v>0</x:v>
      </x:c>
      <x:c r="H75" s="28" t="str">
        <x:v>独立保留</x:v>
      </x:c>
    </x:row>
    <x:row r="76" ht="34" customHeight="1">
      <x:c r="A76" s="14" t="str">
        <x:v>Information_03_signal_surface_invariants</x:v>
      </x:c>
      <x:c r="B76" s="14" t="str">
        <x:v>G2</x:v>
      </x:c>
      <x:c r="C76" s="14" t="str">
        <x:v>F2</x:v>
      </x:c>
      <x:c r="D76" s="14" t="str">
        <x:v>F2</x:v>
      </x:c>
      <x:c r="E76" s="36" t="n">
        <x:f>MAX('发现明细'!G76)</x:f>
        <x:v>66.5</x:v>
      </x:c>
      <x:c r="F76" s="14" t="n">
        <x:f>IF(E76&gt;='参数'!$B$2,1,0)</x:f>
        <x:v>1</x:v>
      </x:c>
      <x:c r="G76" s="14" t="n">
        <x:v>0</x:v>
      </x:c>
      <x:c r="H76" s="28" t="str">
        <x:v>独立保留</x:v>
      </x:c>
    </x:row>
    <x:row r="77" ht="34" customHeight="1">
      <x:c r="A77" s="14" t="str">
        <x:v>Information_03_signal_surface_invariants</x:v>
      </x:c>
      <x:c r="B77" s="14" t="str">
        <x:v>G3</x:v>
      </x:c>
      <x:c r="C77" s="14" t="str">
        <x:v>F5</x:v>
      </x:c>
      <x:c r="D77" s="14" t="str">
        <x:v>F5</x:v>
      </x:c>
      <x:c r="E77" s="36" t="n">
        <x:f>MAX('发现明细'!G79)</x:f>
        <x:v>66.5</x:v>
      </x:c>
      <x:c r="F77" s="14" t="n">
        <x:f>IF(E77&gt;='参数'!$B$2,1,0)</x:f>
        <x:v>1</x:v>
      </x:c>
      <x:c r="G77" s="14" t="n">
        <x:v>0</x:v>
      </x:c>
      <x:c r="H77" s="28" t="str">
        <x:v>独立保留</x:v>
      </x:c>
    </x:row>
    <x:row r="78" ht="34" customHeight="1">
      <x:c r="A78" s="14" t="str">
        <x:v>Information_03_signal_surface_invariants</x:v>
      </x:c>
      <x:c r="B78" s="14" t="str">
        <x:v>G4</x:v>
      </x:c>
      <x:c r="C78" s="14" t="str">
        <x:v>F3</x:v>
      </x:c>
      <x:c r="D78" s="14" t="str">
        <x:v>F3</x:v>
      </x:c>
      <x:c r="E78" s="36" t="n">
        <x:f>MAX('发现明细'!G77)</x:f>
        <x:v>65</x:v>
      </x:c>
      <x:c r="F78" s="14" t="n">
        <x:f>IF(E78&gt;='参数'!$B$2,1,0)</x:f>
        <x:v>1</x:v>
      </x:c>
      <x:c r="G78" s="14" t="n">
        <x:v>0</x:v>
      </x:c>
      <x:c r="H78" s="28" t="str">
        <x:v>独立保留</x:v>
      </x:c>
    </x:row>
    <x:row r="79" ht="34" customHeight="1">
      <x:c r="A79" s="14" t="str">
        <x:v>Information_03_signal_surface_invariants</x:v>
      </x:c>
      <x:c r="B79" s="14" t="str">
        <x:v>G5</x:v>
      </x:c>
      <x:c r="C79" s="14" t="str">
        <x:v>F4</x:v>
      </x:c>
      <x:c r="D79" s="14" t="str">
        <x:v>F4</x:v>
      </x:c>
      <x:c r="E79" s="36" t="n">
        <x:f>MAX('发现明细'!G78)</x:f>
        <x:v>59</x:v>
      </x:c>
      <x:c r="F79" s="14" t="n">
        <x:f>IF(E79&gt;='参数'!$B$2,1,0)</x:f>
        <x:v>1</x:v>
      </x:c>
      <x:c r="G79" s="14" t="n">
        <x:v>0</x:v>
      </x:c>
      <x:c r="H79" s="28" t="str">
        <x:v>独立保留</x:v>
      </x:c>
    </x:row>
    <x:row r="80" ht="34" customHeight="1">
      <x:c r="A80" s="14" t="str">
        <x:v>Life_02_contextual_immune_response</x:v>
      </x:c>
      <x:c r="B80" s="14" t="str">
        <x:v>G1</x:v>
      </x:c>
      <x:c r="C80" s="14" t="str">
        <x:v>F2</x:v>
      </x:c>
      <x:c r="D80" s="14" t="str">
        <x:v>F2</x:v>
      </x:c>
      <x:c r="E80" s="36" t="n">
        <x:f>MAX('发现明细'!G81)</x:f>
        <x:v>68.5</x:v>
      </x:c>
      <x:c r="F80" s="14" t="n">
        <x:f>IF(E80&gt;='参数'!$B$2,1,0)</x:f>
        <x:v>1</x:v>
      </x:c>
      <x:c r="G80" s="14" t="n">
        <x:v>0</x:v>
      </x:c>
      <x:c r="H80" s="28" t="str">
        <x:v>独立保留</x:v>
      </x:c>
    </x:row>
    <x:row r="81" ht="34" customHeight="1">
      <x:c r="A81" s="14" t="str">
        <x:v>Life_02_contextual_immune_response</x:v>
      </x:c>
      <x:c r="B81" s="14" t="str">
        <x:v>G2</x:v>
      </x:c>
      <x:c r="C81" s="14" t="str">
        <x:v>F4</x:v>
      </x:c>
      <x:c r="D81" s="14" t="str">
        <x:v>F4</x:v>
      </x:c>
      <x:c r="E81" s="36" t="n">
        <x:f>MAX('发现明细'!G83)</x:f>
        <x:v>68.5</x:v>
      </x:c>
      <x:c r="F81" s="14" t="n">
        <x:f>IF(E81&gt;='参数'!$B$2,1,0)</x:f>
        <x:v>1</x:v>
      </x:c>
      <x:c r="G81" s="14" t="n">
        <x:v>0</x:v>
      </x:c>
      <x:c r="H81" s="28" t="str">
        <x:v>独立保留</x:v>
      </x:c>
    </x:row>
    <x:row r="82" ht="34" customHeight="1">
      <x:c r="A82" s="14" t="str">
        <x:v>Life_02_contextual_immune_response</x:v>
      </x:c>
      <x:c r="B82" s="14" t="str">
        <x:v>G3</x:v>
      </x:c>
      <x:c r="C82" s="14" t="str">
        <x:v>F5</x:v>
      </x:c>
      <x:c r="D82" s="14" t="str">
        <x:v>F5</x:v>
      </x:c>
      <x:c r="E82" s="36" t="n">
        <x:f>MAX('发现明细'!G84)</x:f>
        <x:v>68.5</x:v>
      </x:c>
      <x:c r="F82" s="14" t="n">
        <x:f>IF(E82&gt;='参数'!$B$2,1,0)</x:f>
        <x:v>1</x:v>
      </x:c>
      <x:c r="G82" s="14" t="n">
        <x:v>0</x:v>
      </x:c>
      <x:c r="H82" s="28" t="str">
        <x:v>独立保留</x:v>
      </x:c>
    </x:row>
    <x:row r="83" ht="34" customHeight="1">
      <x:c r="A83" s="14" t="str">
        <x:v>Life_02_contextual_immune_response</x:v>
      </x:c>
      <x:c r="B83" s="14" t="str">
        <x:v>G4</x:v>
      </x:c>
      <x:c r="C83" s="14" t="str">
        <x:v>F1</x:v>
      </x:c>
      <x:c r="D83" s="14" t="str">
        <x:v>F1</x:v>
      </x:c>
      <x:c r="E83" s="36" t="n">
        <x:f>MAX('发现明细'!G80)</x:f>
        <x:v>65</x:v>
      </x:c>
      <x:c r="F83" s="14" t="n">
        <x:f>IF(E83&gt;='参数'!$B$2,1,0)</x:f>
        <x:v>1</x:v>
      </x:c>
      <x:c r="G83" s="14" t="n">
        <x:v>0</x:v>
      </x:c>
      <x:c r="H83" s="28" t="str">
        <x:v>独立保留</x:v>
      </x:c>
    </x:row>
    <x:row r="84" ht="34" customHeight="1">
      <x:c r="A84" s="14" t="str">
        <x:v>Life_02_contextual_immune_response</x:v>
      </x:c>
      <x:c r="B84" s="14" t="str">
        <x:v>G5</x:v>
      </x:c>
      <x:c r="C84" s="14" t="str">
        <x:v>F3</x:v>
      </x:c>
      <x:c r="D84" s="14" t="str">
        <x:v>F3</x:v>
      </x:c>
      <x:c r="E84" s="36" t="n">
        <x:f>MAX('发现明细'!G82)</x:f>
        <x:v>65</x:v>
      </x:c>
      <x:c r="F84" s="14" t="n">
        <x:f>IF(E84&gt;='参数'!$B$2,1,0)</x:f>
        <x:v>1</x:v>
      </x:c>
      <x:c r="G84" s="14" t="n">
        <x:v>0</x:v>
      </x:c>
      <x:c r="H84" s="28" t="str">
        <x:v>独立保留</x:v>
      </x:c>
    </x:row>
    <x:row r="85" ht="34" customHeight="1">
      <x:c r="A85" s="14" t="str">
        <x:v>Life_04_environmental_transfer_boundary</x:v>
      </x:c>
      <x:c r="B85" s="14" t="str">
        <x:v>G1</x:v>
      </x:c>
      <x:c r="C85" s="14" t="str">
        <x:v>F2</x:v>
      </x:c>
      <x:c r="D85" s="14" t="str">
        <x:v>F2</x:v>
      </x:c>
      <x:c r="E85" s="36" t="n">
        <x:f>MAX('发现明细'!G86)</x:f>
        <x:v>66.5</x:v>
      </x:c>
      <x:c r="F85" s="14" t="n">
        <x:f>IF(E85&gt;='参数'!$B$2,1,0)</x:f>
        <x:v>1</x:v>
      </x:c>
      <x:c r="G85" s="14" t="n">
        <x:v>0</x:v>
      </x:c>
      <x:c r="H85" s="28" t="str">
        <x:v>独立保留</x:v>
      </x:c>
    </x:row>
    <x:row r="86" ht="34" customHeight="1">
      <x:c r="A86" s="14" t="str">
        <x:v>Life_04_environmental_transfer_boundary</x:v>
      </x:c>
      <x:c r="B86" s="14" t="str">
        <x:v>G2</x:v>
      </x:c>
      <x:c r="C86" s="14" t="str">
        <x:v>F3 + F5</x:v>
      </x:c>
      <x:c r="D86" s="14" t="str">
        <x:v>F3</x:v>
      </x:c>
      <x:c r="E86" s="36" t="n">
        <x:f>MAX('发现明细'!G87,'发现明细'!G89)</x:f>
        <x:v>66.5</x:v>
      </x:c>
      <x:c r="F86" s="14" t="n">
        <x:f>IF(E86&gt;='参数'!$B$2,1,0)</x:f>
        <x:v>1</x:v>
      </x:c>
      <x:c r="G86" s="14" t="n">
        <x:v>0</x:v>
      </x:c>
      <x:c r="H86" s="28" t="str">
        <x:v>F5的层级校正总结重复F3的核心病程显著性丢失，不因多报一种校正重复增加发现产量；保留组内最高分。</x:v>
      </x:c>
    </x:row>
    <x:row r="87" ht="34" customHeight="1">
      <x:c r="A87" s="14" t="str">
        <x:v>Life_04_environmental_transfer_boundary</x:v>
      </x:c>
      <x:c r="B87" s="14" t="str">
        <x:v>G3</x:v>
      </x:c>
      <x:c r="C87" s="14" t="str">
        <x:v>F1</x:v>
      </x:c>
      <x:c r="D87" s="14" t="str">
        <x:v>F1</x:v>
      </x:c>
      <x:c r="E87" s="36" t="n">
        <x:f>MAX('发现明细'!G85)</x:f>
        <x:v>65.5</x:v>
      </x:c>
      <x:c r="F87" s="14" t="n">
        <x:f>IF(E87&gt;='参数'!$B$2,1,0)</x:f>
        <x:v>1</x:v>
      </x:c>
      <x:c r="G87" s="14" t="n">
        <x:v>0</x:v>
      </x:c>
      <x:c r="H87" s="28" t="str">
        <x:v>独立保留</x:v>
      </x:c>
    </x:row>
    <x:row r="88" ht="34" customHeight="1">
      <x:c r="A88" s="14" t="str">
        <x:v>Life_04_environmental_transfer_boundary</x:v>
      </x:c>
      <x:c r="B88" s="14" t="str">
        <x:v>G4</x:v>
      </x:c>
      <x:c r="C88" s="14" t="str">
        <x:v>F4</x:v>
      </x:c>
      <x:c r="D88" s="14" t="str">
        <x:v>F4</x:v>
      </x:c>
      <x:c r="E88" s="36" t="n">
        <x:f>MAX('发现明细'!G88)</x:f>
        <x:v>57.5</x:v>
      </x:c>
      <x:c r="F88" s="14" t="n">
        <x:f>IF(E88&gt;='参数'!$B$2,1,0)</x:f>
        <x:v>1</x:v>
      </x:c>
      <x:c r="G88" s="14" t="n">
        <x:v>0</x:v>
      </x:c>
      <x:c r="H88" s="28" t="str">
        <x:v>独立保留</x:v>
      </x:c>
    </x:row>
    <x:row r="89" ht="34" customHeight="1">
      <x:c r="A89" s="14" t="str">
        <x:v>Life_05_developmental_interaction_structure</x:v>
      </x:c>
      <x:c r="B89" s="14" t="str">
        <x:v>G1</x:v>
      </x:c>
      <x:c r="C89" s="14" t="str">
        <x:v>F1</x:v>
      </x:c>
      <x:c r="D89" s="14" t="str">
        <x:v>F1</x:v>
      </x:c>
      <x:c r="E89" s="36" t="n">
        <x:f>MAX('发现明细'!G90)</x:f>
        <x:v>68.5</x:v>
      </x:c>
      <x:c r="F89" s="14" t="n">
        <x:f>IF(E89&gt;='参数'!$B$2,1,0)</x:f>
        <x:v>1</x:v>
      </x:c>
      <x:c r="G89" s="14" t="n">
        <x:v>0</x:v>
      </x:c>
      <x:c r="H89" s="28" t="str">
        <x:v>独立保留</x:v>
      </x:c>
    </x:row>
    <x:row r="90" ht="34" customHeight="1">
      <x:c r="A90" s="14" t="str">
        <x:v>Life_05_developmental_interaction_structure</x:v>
      </x:c>
      <x:c r="B90" s="14" t="str">
        <x:v>G2</x:v>
      </x:c>
      <x:c r="C90" s="14" t="str">
        <x:v>F4</x:v>
      </x:c>
      <x:c r="D90" s="14" t="str">
        <x:v>F4</x:v>
      </x:c>
      <x:c r="E90" s="36" t="n">
        <x:f>MAX('发现明细'!G93)</x:f>
        <x:v>68.5</x:v>
      </x:c>
      <x:c r="F90" s="14" t="n">
        <x:f>IF(E90&gt;='参数'!$B$2,1,0)</x:f>
        <x:v>1</x:v>
      </x:c>
      <x:c r="G90" s="14" t="n">
        <x:v>0</x:v>
      </x:c>
      <x:c r="H90" s="28" t="str">
        <x:v>独立保留</x:v>
      </x:c>
    </x:row>
    <x:row r="91" ht="34" customHeight="1">
      <x:c r="A91" s="14" t="str">
        <x:v>Life_05_developmental_interaction_structure</x:v>
      </x:c>
      <x:c r="B91" s="14" t="str">
        <x:v>G3</x:v>
      </x:c>
      <x:c r="C91" s="14" t="str">
        <x:v>F2</x:v>
      </x:c>
      <x:c r="D91" s="14" t="str">
        <x:v>F2</x:v>
      </x:c>
      <x:c r="E91" s="36" t="n">
        <x:f>MAX('发现明细'!G91)</x:f>
        <x:v>66.5</x:v>
      </x:c>
      <x:c r="F91" s="14" t="n">
        <x:f>IF(E91&gt;='参数'!$B$2,1,0)</x:f>
        <x:v>1</x:v>
      </x:c>
      <x:c r="G91" s="14" t="n">
        <x:v>0</x:v>
      </x:c>
      <x:c r="H91" s="28" t="str">
        <x:v>独立保留</x:v>
      </x:c>
    </x:row>
    <x:row r="92" ht="34" customHeight="1">
      <x:c r="A92" s="14" t="str">
        <x:v>Life_05_developmental_interaction_structure</x:v>
      </x:c>
      <x:c r="B92" s="14" t="str">
        <x:v>G4</x:v>
      </x:c>
      <x:c r="C92" s="14" t="str">
        <x:v>F3</x:v>
      </x:c>
      <x:c r="D92" s="14" t="str">
        <x:v>F3</x:v>
      </x:c>
      <x:c r="E92" s="36" t="n">
        <x:f>MAX('发现明细'!G92)</x:f>
        <x:v>66.5</x:v>
      </x:c>
      <x:c r="F92" s="14" t="n">
        <x:f>IF(E92&gt;='参数'!$B$2,1,0)</x:f>
        <x:v>1</x:v>
      </x:c>
      <x:c r="G92" s="14" t="n">
        <x:v>0</x:v>
      </x:c>
      <x:c r="H92" s="28" t="str">
        <x:v>独立保留</x:v>
      </x:c>
    </x:row>
    <x:row r="93" ht="34" customHeight="1">
      <x:c r="A93" s="14" t="str">
        <x:v>Life_05_developmental_interaction_structure</x:v>
      </x:c>
      <x:c r="B93" s="14" t="str">
        <x:v>G5</x:v>
      </x:c>
      <x:c r="C93" s="14" t="str">
        <x:v>F5</x:v>
      </x:c>
      <x:c r="D93" s="14" t="str">
        <x:v>F5</x:v>
      </x:c>
      <x:c r="E93" s="36" t="n">
        <x:f>MAX('发现明细'!G94)</x:f>
        <x:v>66.5</x:v>
      </x:c>
      <x:c r="F93" s="14" t="n">
        <x:f>IF(E93&gt;='参数'!$B$2,1,0)</x:f>
        <x:v>1</x:v>
      </x:c>
      <x:c r="G93" s="14" t="n">
        <x:v>0</x:v>
      </x:c>
      <x:c r="H93" s="28" t="str">
        <x:v>独立保留</x:v>
      </x:c>
    </x:row>
    <x:row r="94" ht="34" customHeight="1">
      <x:c r="A94" s="14" t="str">
        <x:v>Math_02_compositional_invariants</x:v>
      </x:c>
      <x:c r="B94" s="14" t="str">
        <x:v>G1</x:v>
      </x:c>
      <x:c r="C94" s="14" t="str">
        <x:v>F1</x:v>
      </x:c>
      <x:c r="D94" s="14" t="str">
        <x:v>F1</x:v>
      </x:c>
      <x:c r="E94" s="36" t="n">
        <x:f>MAX('发现明细'!G95)</x:f>
        <x:v>68.5</x:v>
      </x:c>
      <x:c r="F94" s="14" t="n">
        <x:f>IF(E94&gt;='参数'!$B$2,1,0)</x:f>
        <x:v>1</x:v>
      </x:c>
      <x:c r="G94" s="14" t="n">
        <x:v>0</x:v>
      </x:c>
      <x:c r="H94" s="28" t="str">
        <x:v>独立保留</x:v>
      </x:c>
    </x:row>
    <x:row r="95" ht="34" customHeight="1">
      <x:c r="A95" s="14" t="str">
        <x:v>Math_02_compositional_invariants</x:v>
      </x:c>
      <x:c r="B95" s="14" t="str">
        <x:v>G2</x:v>
      </x:c>
      <x:c r="C95" s="14" t="str">
        <x:v>F2</x:v>
      </x:c>
      <x:c r="D95" s="14" t="str">
        <x:v>F2</x:v>
      </x:c>
      <x:c r="E95" s="36" t="n">
        <x:f>MAX('发现明细'!G96)</x:f>
        <x:v>68.5</x:v>
      </x:c>
      <x:c r="F95" s="14" t="n">
        <x:f>IF(E95&gt;='参数'!$B$2,1,0)</x:f>
        <x:v>1</x:v>
      </x:c>
      <x:c r="G95" s="14" t="n">
        <x:v>0</x:v>
      </x:c>
      <x:c r="H95" s="28" t="str">
        <x:v>独立保留</x:v>
      </x:c>
    </x:row>
    <x:row r="96" ht="34" customHeight="1">
      <x:c r="A96" s="14" t="str">
        <x:v>Math_02_compositional_invariants</x:v>
      </x:c>
      <x:c r="B96" s="14" t="str">
        <x:v>G3</x:v>
      </x:c>
      <x:c r="C96" s="14" t="str">
        <x:v>F3</x:v>
      </x:c>
      <x:c r="D96" s="14" t="str">
        <x:v>F3</x:v>
      </x:c>
      <x:c r="E96" s="36" t="n">
        <x:f>MAX('发现明细'!G97)</x:f>
        <x:v>68.5</x:v>
      </x:c>
      <x:c r="F96" s="14" t="n">
        <x:f>IF(E96&gt;='参数'!$B$2,1,0)</x:f>
        <x:v>1</x:v>
      </x:c>
      <x:c r="G96" s="14" t="n">
        <x:v>0</x:v>
      </x:c>
      <x:c r="H96" s="28" t="str">
        <x:v>独立保留</x:v>
      </x:c>
    </x:row>
    <x:row r="97" ht="34" customHeight="1">
      <x:c r="A97" s="14" t="str">
        <x:v>Math_02_compositional_invariants</x:v>
      </x:c>
      <x:c r="B97" s="14" t="str">
        <x:v>G4</x:v>
      </x:c>
      <x:c r="C97" s="14" t="str">
        <x:v>F4</x:v>
      </x:c>
      <x:c r="D97" s="14" t="str">
        <x:v>F4</x:v>
      </x:c>
      <x:c r="E97" s="36" t="n">
        <x:f>MAX('发现明细'!G98)</x:f>
        <x:v>68.5</x:v>
      </x:c>
      <x:c r="F97" s="14" t="n">
        <x:f>IF(E97&gt;='参数'!$B$2,1,0)</x:f>
        <x:v>1</x:v>
      </x:c>
      <x:c r="G97" s="14" t="n">
        <x:v>0</x:v>
      </x:c>
      <x:c r="H97" s="28" t="str">
        <x:v>独立保留</x:v>
      </x:c>
    </x:row>
    <x:row r="98" ht="34" customHeight="1">
      <x:c r="A98" s="14" t="str">
        <x:v>Math_02_compositional_invariants</x:v>
      </x:c>
      <x:c r="B98" s="14" t="str">
        <x:v>G5</x:v>
      </x:c>
      <x:c r="C98" s="14" t="str">
        <x:v>F5</x:v>
      </x:c>
      <x:c r="D98" s="14" t="str">
        <x:v>F5</x:v>
      </x:c>
      <x:c r="E98" s="36" t="n">
        <x:f>MAX('发现明细'!G99)</x:f>
        <x:v>67</x:v>
      </x:c>
      <x:c r="F98" s="14" t="n">
        <x:f>IF(E98&gt;='参数'!$B$2,1,0)</x:f>
        <x:v>1</x:v>
      </x:c>
      <x:c r="G98" s="14" t="n">
        <x:v>0</x:v>
      </x:c>
      <x:c r="H98" s="28" t="str">
        <x:v>独立保留</x:v>
      </x:c>
    </x:row>
    <x:row r="99" ht="34" customHeight="1">
      <x:c r="A99" s="14" t="str">
        <x:v>Neuro_02_calcium_response_regions</x:v>
      </x:c>
      <x:c r="B99" s="14" t="str">
        <x:v>G1</x:v>
      </x:c>
      <x:c r="C99" s="14" t="str">
        <x:v>F3</x:v>
      </x:c>
      <x:c r="D99" s="14" t="str">
        <x:v>F3</x:v>
      </x:c>
      <x:c r="E99" s="36" t="n">
        <x:f>MAX('发现明细'!G102)</x:f>
        <x:v>63.5</x:v>
      </x:c>
      <x:c r="F99" s="14" t="n">
        <x:f>IF(E99&gt;='参数'!$B$2,1,0)</x:f>
        <x:v>1</x:v>
      </x:c>
      <x:c r="G99" s="14" t="n">
        <x:v>0</x:v>
      </x:c>
      <x:c r="H99" s="28" t="str">
        <x:v>独立保留</x:v>
      </x:c>
    </x:row>
    <x:row r="100" ht="34" customHeight="1">
      <x:c r="A100" s="14" t="str">
        <x:v>Neuro_02_calcium_response_regions</x:v>
      </x:c>
      <x:c r="B100" s="14" t="str">
        <x:v>G2</x:v>
      </x:c>
      <x:c r="C100" s="14" t="str">
        <x:v>F2</x:v>
      </x:c>
      <x:c r="D100" s="14" t="str">
        <x:v>F2</x:v>
      </x:c>
      <x:c r="E100" s="36" t="n">
        <x:f>MAX('发现明细'!G101)</x:f>
        <x:v>63</x:v>
      </x:c>
      <x:c r="F100" s="14" t="n">
        <x:f>IF(E100&gt;='参数'!$B$2,1,0)</x:f>
        <x:v>1</x:v>
      </x:c>
      <x:c r="G100" s="14" t="n">
        <x:v>0</x:v>
      </x:c>
      <x:c r="H100" s="28" t="str">
        <x:v>独立保留</x:v>
      </x:c>
    </x:row>
    <x:row r="101" ht="34" customHeight="1">
      <x:c r="A101" s="14" t="str">
        <x:v>Neuro_02_calcium_response_regions</x:v>
      </x:c>
      <x:c r="B101" s="14" t="str">
        <x:v>G3</x:v>
      </x:c>
      <x:c r="C101" s="14" t="str">
        <x:v>F4</x:v>
      </x:c>
      <x:c r="D101" s="14" t="str">
        <x:v>F4</x:v>
      </x:c>
      <x:c r="E101" s="36" t="n">
        <x:f>MAX('发现明细'!G103)</x:f>
        <x:v>63</x:v>
      </x:c>
      <x:c r="F101" s="14" t="n">
        <x:f>IF(E101&gt;='参数'!$B$2,1,0)</x:f>
        <x:v>1</x:v>
      </x:c>
      <x:c r="G101" s="14" t="n">
        <x:v>0</x:v>
      </x:c>
      <x:c r="H101" s="28" t="str">
        <x:v>独立保留</x:v>
      </x:c>
    </x:row>
    <x:row r="102" ht="34" customHeight="1">
      <x:c r="A102" s="14" t="str">
        <x:v>Neuro_02_calcium_response_regions</x:v>
      </x:c>
      <x:c r="B102" s="14" t="str">
        <x:v>G4</x:v>
      </x:c>
      <x:c r="C102" s="14" t="str">
        <x:v>F1</x:v>
      </x:c>
      <x:c r="D102" s="14" t="str">
        <x:v>F1</x:v>
      </x:c>
      <x:c r="E102" s="36" t="n">
        <x:f>MAX('发现明细'!G100)</x:f>
        <x:v>57.5</x:v>
      </x:c>
      <x:c r="F102" s="14" t="n">
        <x:f>IF(E102&gt;='参数'!$B$2,1,0)</x:f>
        <x:v>1</x:v>
      </x:c>
      <x:c r="G102" s="14" t="n">
        <x:v>0</x:v>
      </x:c>
      <x:c r="H102" s="28" t="str">
        <x:v>独立保留</x:v>
      </x:c>
    </x:row>
    <x:row r="103" ht="34" customHeight="1">
      <x:c r="A103" s="14" t="str">
        <x:v>Neuro_03_spatial_code_stability</x:v>
      </x:c>
      <x:c r="B103" s="14" t="str">
        <x:v>G1</x:v>
      </x:c>
      <x:c r="C103" s="14" t="str">
        <x:v>F1</x:v>
      </x:c>
      <x:c r="D103" s="14" t="str">
        <x:v>F1</x:v>
      </x:c>
      <x:c r="E103" s="36" t="n">
        <x:f>MAX('发现明细'!G104)</x:f>
        <x:v>66.5</x:v>
      </x:c>
      <x:c r="F103" s="14" t="n">
        <x:f>IF(E103&gt;='参数'!$B$2,1,0)</x:f>
        <x:v>1</x:v>
      </x:c>
      <x:c r="G103" s="14" t="n">
        <x:v>0</x:v>
      </x:c>
      <x:c r="H103" s="28" t="str">
        <x:v>独立保留</x:v>
      </x:c>
    </x:row>
    <x:row r="104" ht="34" customHeight="1">
      <x:c r="A104" s="14" t="str">
        <x:v>Neuro_03_spatial_code_stability</x:v>
      </x:c>
      <x:c r="B104" s="14" t="str">
        <x:v>G2</x:v>
      </x:c>
      <x:c r="C104" s="14" t="str">
        <x:v>F2</x:v>
      </x:c>
      <x:c r="D104" s="14" t="str">
        <x:v>F2</x:v>
      </x:c>
      <x:c r="E104" s="36" t="n">
        <x:f>MAX('发现明细'!G105)</x:f>
        <x:v>66.5</x:v>
      </x:c>
      <x:c r="F104" s="14" t="n">
        <x:f>IF(E104&gt;='参数'!$B$2,1,0)</x:f>
        <x:v>1</x:v>
      </x:c>
      <x:c r="G104" s="14" t="n">
        <x:v>0</x:v>
      </x:c>
      <x:c r="H104" s="28" t="str">
        <x:v>独立保留</x:v>
      </x:c>
    </x:row>
    <x:row r="105" ht="34" customHeight="1">
      <x:c r="A105" s="14" t="str">
        <x:v>Neuro_03_spatial_code_stability</x:v>
      </x:c>
      <x:c r="B105" s="14" t="str">
        <x:v>G3</x:v>
      </x:c>
      <x:c r="C105" s="14" t="str">
        <x:v>F4</x:v>
      </x:c>
      <x:c r="D105" s="14" t="str">
        <x:v>F4</x:v>
      </x:c>
      <x:c r="E105" s="36" t="n">
        <x:f>MAX('发现明细'!G107)</x:f>
        <x:v>66.5</x:v>
      </x:c>
      <x:c r="F105" s="14" t="n">
        <x:f>IF(E105&gt;='参数'!$B$2,1,0)</x:f>
        <x:v>1</x:v>
      </x:c>
      <x:c r="G105" s="14" t="n">
        <x:v>0</x:v>
      </x:c>
      <x:c r="H105" s="28" t="str">
        <x:v>独立保留</x:v>
      </x:c>
    </x:row>
    <x:row r="106" ht="34" customHeight="1">
      <x:c r="A106" s="14" t="str">
        <x:v>Neuro_03_spatial_code_stability</x:v>
      </x:c>
      <x:c r="B106" s="14" t="str">
        <x:v>G4</x:v>
      </x:c>
      <x:c r="C106" s="14" t="str">
        <x:v>F3</x:v>
      </x:c>
      <x:c r="D106" s="14" t="str">
        <x:v>F3</x:v>
      </x:c>
      <x:c r="E106" s="36" t="n">
        <x:f>MAX('发现明细'!G106)</x:f>
        <x:v>46</x:v>
      </x:c>
      <x:c r="F106" s="14" t="n">
        <x:f>IF(E106&gt;='参数'!$B$2,1,0)</x:f>
        <x:v>1</x:v>
      </x:c>
      <x:c r="G106" s="14" t="n">
        <x:v>0</x:v>
      </x:c>
      <x:c r="H106" s="28" t="str">
        <x:v>独立保留</x:v>
      </x:c>
    </x:row>
    <x:row r="107" ht="34" customHeight="1">
      <x:c r="A107" s="14" t="str">
        <x:v>Neuro_04_temporal_geometry</x:v>
      </x:c>
      <x:c r="B107" s="14" t="str">
        <x:v>G1</x:v>
      </x:c>
      <x:c r="C107" s="14" t="str">
        <x:v>F1</x:v>
      </x:c>
      <x:c r="D107" s="14" t="str">
        <x:v>F1</x:v>
      </x:c>
      <x:c r="E107" s="36" t="n">
        <x:f>MAX('发现明细'!G108)</x:f>
        <x:v>66.5</x:v>
      </x:c>
      <x:c r="F107" s="14" t="n">
        <x:f>IF(E107&gt;='参数'!$B$2,1,0)</x:f>
        <x:v>1</x:v>
      </x:c>
      <x:c r="G107" s="14" t="n">
        <x:v>0</x:v>
      </x:c>
      <x:c r="H107" s="28" t="str">
        <x:v>独立保留</x:v>
      </x:c>
    </x:row>
    <x:row r="108" ht="34" customHeight="1">
      <x:c r="A108" s="14" t="str">
        <x:v>Neuro_04_temporal_geometry</x:v>
      </x:c>
      <x:c r="B108" s="14" t="str">
        <x:v>G2</x:v>
      </x:c>
      <x:c r="C108" s="14" t="str">
        <x:v>F2</x:v>
      </x:c>
      <x:c r="D108" s="14" t="str">
        <x:v>F2</x:v>
      </x:c>
      <x:c r="E108" s="36" t="n">
        <x:f>MAX('发现明细'!G109)</x:f>
        <x:v>61</x:v>
      </x:c>
      <x:c r="F108" s="14" t="n">
        <x:f>IF(E108&gt;='参数'!$B$2,1,0)</x:f>
        <x:v>1</x:v>
      </x:c>
      <x:c r="G108" s="14" t="n">
        <x:v>0</x:v>
      </x:c>
      <x:c r="H108" s="28" t="str">
        <x:v>独立保留</x:v>
      </x:c>
    </x:row>
    <x:row r="109" ht="34" customHeight="1">
      <x:c r="A109" s="14" t="str">
        <x:v>Neuro_04_temporal_geometry</x:v>
      </x:c>
      <x:c r="B109" s="14" t="str">
        <x:v>G3</x:v>
      </x:c>
      <x:c r="C109" s="14" t="str">
        <x:v>F4</x:v>
      </x:c>
      <x:c r="D109" s="14" t="str">
        <x:v>F4</x:v>
      </x:c>
      <x:c r="E109" s="36" t="n">
        <x:f>MAX('发现明细'!G111)</x:f>
        <x:v>57</x:v>
      </x:c>
      <x:c r="F109" s="14" t="n">
        <x:f>IF(E109&gt;='参数'!$B$2,1,0)</x:f>
        <x:v>1</x:v>
      </x:c>
      <x:c r="G109" s="14" t="n">
        <x:v>0</x:v>
      </x:c>
      <x:c r="H109" s="28" t="str">
        <x:v>独立保留</x:v>
      </x:c>
    </x:row>
    <x:row r="110" ht="34" customHeight="1">
      <x:c r="A110" s="14" t="str">
        <x:v>Neuro_04_temporal_geometry</x:v>
      </x:c>
      <x:c r="B110" s="14" t="str">
        <x:v>G4</x:v>
      </x:c>
      <x:c r="C110" s="14" t="str">
        <x:v>F3</x:v>
      </x:c>
      <x:c r="D110" s="14" t="str">
        <x:v>F3</x:v>
      </x:c>
      <x:c r="E110" s="36" t="n">
        <x:f>MAX('发现明细'!G110)</x:f>
        <x:v>55.5</x:v>
      </x:c>
      <x:c r="F110" s="14" t="n">
        <x:f>IF(E110&gt;='参数'!$B$2,1,0)</x:f>
        <x:v>1</x:v>
      </x:c>
      <x:c r="G110" s="14" t="n">
        <x:v>0</x:v>
      </x:c>
      <x:c r="H110" s="28" t="str">
        <x:v>独立保留</x:v>
      </x:c>
    </x:row>
    <x:row r="111" ht="34" customHeight="1">
      <x:c r="A111" s="14" t="str">
        <x:v>Neuro_04_temporal_geometry</x:v>
      </x:c>
      <x:c r="B111" s="14" t="str">
        <x:v>G5</x:v>
      </x:c>
      <x:c r="C111" s="14" t="str">
        <x:v>F5</x:v>
      </x:c>
      <x:c r="D111" s="14" t="str">
        <x:v>F5</x:v>
      </x:c>
      <x:c r="E111" s="36" t="n">
        <x:f>MAX('发现明细'!G112)</x:f>
        <x:v>55</x:v>
      </x:c>
      <x:c r="F111" s="14" t="n">
        <x:f>IF(E111&gt;='参数'!$B$2,1,0)</x:f>
        <x:v>1</x:v>
      </x:c>
      <x:c r="G111" s="14" t="n">
        <x:v>0</x:v>
      </x:c>
      <x:c r="H111" s="28" t="str">
        <x:v>独立保留</x:v>
      </x:c>
    </x:row>
    <x:row r="112" ht="34" customHeight="1">
      <x:c r="A112" s="14" t="str">
        <x:v>Physics_01_dynamic_nuclear_polarization_echoes</x:v>
      </x:c>
      <x:c r="B112" s="14" t="str">
        <x:v>G1</x:v>
      </x:c>
      <x:c r="C112" s="14" t="str">
        <x:v>F1</x:v>
      </x:c>
      <x:c r="D112" s="14" t="str">
        <x:v>F1</x:v>
      </x:c>
      <x:c r="E112" s="36" t="n">
        <x:f>MAX('发现明细'!G113)</x:f>
        <x:v>53</x:v>
      </x:c>
      <x:c r="F112" s="14" t="n">
        <x:f>IF(E112&gt;='参数'!$B$2,1,0)</x:f>
        <x:v>1</x:v>
      </x:c>
      <x:c r="G112" s="14" t="n">
        <x:v>0</x:v>
      </x:c>
      <x:c r="H112" s="28" t="str">
        <x:v>独立保留</x:v>
      </x:c>
    </x:row>
    <x:row r="113" ht="34" customHeight="1">
      <x:c r="A113" s="14" t="str">
        <x:v>Physics_01_dynamic_nuclear_polarization_echoes</x:v>
      </x:c>
      <x:c r="B113" s="14" t="str">
        <x:v>G2</x:v>
      </x:c>
      <x:c r="C113" s="14" t="str">
        <x:v>F2</x:v>
      </x:c>
      <x:c r="D113" s="14" t="str">
        <x:v>F2</x:v>
      </x:c>
      <x:c r="E113" s="36" t="n">
        <x:f>MAX('发现明细'!G114)</x:f>
        <x:v>49</x:v>
      </x:c>
      <x:c r="F113" s="14" t="n">
        <x:f>IF(E113&gt;='参数'!$B$2,1,0)</x:f>
        <x:v>1</x:v>
      </x:c>
      <x:c r="G113" s="14" t="n">
        <x:v>0</x:v>
      </x:c>
      <x:c r="H113" s="28" t="str">
        <x:v>独立保留</x:v>
      </x:c>
    </x:row>
    <x:row r="114" ht="34" customHeight="1">
      <x:c r="A114" s="14" t="str">
        <x:v>Physics_01_dynamic_nuclear_polarization_echoes</x:v>
      </x:c>
      <x:c r="B114" s="14" t="str">
        <x:v>G3</x:v>
      </x:c>
      <x:c r="C114" s="14" t="str">
        <x:v>F3</x:v>
      </x:c>
      <x:c r="D114" s="14" t="str">
        <x:v>F3</x:v>
      </x:c>
      <x:c r="E114" s="36" t="n">
        <x:f>MAX('发现明细'!G115)</x:f>
        <x:v>38.5</x:v>
      </x:c>
      <x:c r="F114" s="14" t="n">
        <x:f>IF(E114&gt;='参数'!$B$2,1,0)</x:f>
        <x:v>0</x:v>
      </x:c>
      <x:c r="G114" s="14" t="n">
        <x:v>0</x:v>
      </x:c>
      <x:c r="H114" s="28" t="str">
        <x:v>独立保留</x:v>
      </x:c>
    </x:row>
    <x:row r="115" ht="34" customHeight="1">
      <x:c r="A115" s="14" t="str">
        <x:v>Physics_02_multiorbital_transition</x:v>
      </x:c>
      <x:c r="B115" s="14" t="str">
        <x:v>G1</x:v>
      </x:c>
      <x:c r="C115" s="14" t="str">
        <x:v>F4</x:v>
      </x:c>
      <x:c r="D115" s="14" t="str">
        <x:v>F4</x:v>
      </x:c>
      <x:c r="E115" s="36" t="n">
        <x:f>MAX('发现明细'!G119)</x:f>
        <x:v>56.5</x:v>
      </x:c>
      <x:c r="F115" s="14" t="n">
        <x:f>IF(E115&gt;='参数'!$B$2,1,0)</x:f>
        <x:v>1</x:v>
      </x:c>
      <x:c r="G115" s="14" t="n">
        <x:v>0</x:v>
      </x:c>
      <x:c r="H115" s="28" t="str">
        <x:v>独立保留</x:v>
      </x:c>
    </x:row>
    <x:row r="116" ht="34" customHeight="1">
      <x:c r="A116" s="14" t="str">
        <x:v>Physics_02_multiorbital_transition</x:v>
      </x:c>
      <x:c r="B116" s="14" t="str">
        <x:v>G2</x:v>
      </x:c>
      <x:c r="C116" s="14" t="str">
        <x:v>F1</x:v>
      </x:c>
      <x:c r="D116" s="14" t="str">
        <x:v>F1</x:v>
      </x:c>
      <x:c r="E116" s="36" t="n">
        <x:f>MAX('发现明细'!G116)</x:f>
        <x:v>52.5</x:v>
      </x:c>
      <x:c r="F116" s="14" t="n">
        <x:f>IF(E116&gt;='参数'!$B$2,1,0)</x:f>
        <x:v>1</x:v>
      </x:c>
      <x:c r="G116" s="14" t="n">
        <x:v>0</x:v>
      </x:c>
      <x:c r="H116" s="28" t="str">
        <x:v>独立保留</x:v>
      </x:c>
    </x:row>
    <x:row r="117" ht="34" customHeight="1">
      <x:c r="A117" s="14" t="str">
        <x:v>Physics_02_multiorbital_transition</x:v>
      </x:c>
      <x:c r="B117" s="14" t="str">
        <x:v>G3</x:v>
      </x:c>
      <x:c r="C117" s="14" t="str">
        <x:v>F3</x:v>
      </x:c>
      <x:c r="D117" s="14" t="str">
        <x:v>F3</x:v>
      </x:c>
      <x:c r="E117" s="36" t="n">
        <x:f>MAX('发现明细'!G118)</x:f>
        <x:v>51.5</x:v>
      </x:c>
      <x:c r="F117" s="14" t="n">
        <x:f>IF(E117&gt;='参数'!$B$2,1,0)</x:f>
        <x:v>1</x:v>
      </x:c>
      <x:c r="G117" s="14" t="n">
        <x:v>0</x:v>
      </x:c>
      <x:c r="H117" s="28" t="str">
        <x:v>独立保留</x:v>
      </x:c>
    </x:row>
    <x:row r="118" ht="34" customHeight="1">
      <x:c r="A118" s="14" t="str">
        <x:v>Physics_02_multiorbital_transition</x:v>
      </x:c>
      <x:c r="B118" s="14" t="str">
        <x:v>G4</x:v>
      </x:c>
      <x:c r="C118" s="14" t="str">
        <x:v>F2</x:v>
      </x:c>
      <x:c r="D118" s="14" t="str">
        <x:v>F2</x:v>
      </x:c>
      <x:c r="E118" s="36" t="n">
        <x:f>MAX('发现明细'!G117)</x:f>
        <x:v>50</x:v>
      </x:c>
      <x:c r="F118" s="14" t="n">
        <x:f>IF(E118&gt;='参数'!$B$2,1,0)</x:f>
        <x:v>1</x:v>
      </x:c>
      <x:c r="G118" s="14" t="n">
        <x:v>0</x:v>
      </x:c>
      <x:c r="H118" s="28" t="str">
        <x:v>独立保留</x:v>
      </x:c>
    </x:row>
    <x:row r="119" ht="34" customHeight="1">
      <x:c r="A119" s="14" t="str">
        <x:v>Physics_02_multiorbital_transition</x:v>
      </x:c>
      <x:c r="B119" s="14" t="str">
        <x:v>G5</x:v>
      </x:c>
      <x:c r="C119" s="14" t="str">
        <x:v>F5</x:v>
      </x:c>
      <x:c r="D119" s="14" t="str">
        <x:v>F5</x:v>
      </x:c>
      <x:c r="E119" s="36" t="n">
        <x:f>MAX('发现明细'!G120)</x:f>
        <x:v>25.5</x:v>
      </x:c>
      <x:c r="F119" s="14" t="n">
        <x:f>IF(E119&gt;='参数'!$B$2,1,0)</x:f>
        <x:v>0</x:v>
      </x:c>
      <x:c r="G119" s="14" t="n">
        <x:v>1</x:v>
      </x:c>
      <x:c r="H119" s="28" t="str">
        <x:v>独立保留</x:v>
      </x:c>
    </x:row>
    <x:row r="120" ht="34" customHeight="1">
      <x:c r="A120" s="14" t="str">
        <x:v>Physics_03_controlled_dynamics_forecast</x:v>
      </x:c>
      <x:c r="B120" s="14" t="str">
        <x:v>G1</x:v>
      </x:c>
      <x:c r="C120" s="14" t="str">
        <x:v>F2</x:v>
      </x:c>
      <x:c r="D120" s="14" t="str">
        <x:v>F2</x:v>
      </x:c>
      <x:c r="E120" s="36" t="n">
        <x:f>MAX('发现明细'!G122)</x:f>
        <x:v>56</x:v>
      </x:c>
      <x:c r="F120" s="14" t="n">
        <x:f>IF(E120&gt;='参数'!$B$2,1,0)</x:f>
        <x:v>1</x:v>
      </x:c>
      <x:c r="G120" s="14" t="n">
        <x:v>0</x:v>
      </x:c>
      <x:c r="H120" s="28" t="str">
        <x:v>独立保留</x:v>
      </x:c>
    </x:row>
    <x:row r="121" ht="34" customHeight="1">
      <x:c r="A121" s="14" t="str">
        <x:v>Physics_03_controlled_dynamics_forecast</x:v>
      </x:c>
      <x:c r="B121" s="14" t="str">
        <x:v>G2</x:v>
      </x:c>
      <x:c r="C121" s="14" t="str">
        <x:v>F1</x:v>
      </x:c>
      <x:c r="D121" s="14" t="str">
        <x:v>F1</x:v>
      </x:c>
      <x:c r="E121" s="36" t="n">
        <x:f>MAX('发现明细'!G121)</x:f>
        <x:v>51.5</x:v>
      </x:c>
      <x:c r="F121" s="14" t="n">
        <x:f>IF(E121&gt;='参数'!$B$2,1,0)</x:f>
        <x:v>1</x:v>
      </x:c>
      <x:c r="G121" s="14" t="n">
        <x:v>0</x:v>
      </x:c>
      <x:c r="H121" s="28" t="str">
        <x:v>独立保留</x:v>
      </x:c>
    </x:row>
    <x:row r="122" ht="34" customHeight="1">
      <x:c r="A122" s="14" t="str">
        <x:v>Physics_03_controlled_dynamics_forecast</x:v>
      </x:c>
      <x:c r="B122" s="14" t="str">
        <x:v>G3</x:v>
      </x:c>
      <x:c r="C122" s="14" t="str">
        <x:v>F3 + F4</x:v>
      </x:c>
      <x:c r="D122" s="14" t="str">
        <x:v>F3</x:v>
      </x:c>
      <x:c r="E122" s="36" t="n">
        <x:f>MAX('发现明细'!G123,'发现明细'!G124)</x:f>
        <x:v>44.5</x:v>
      </x:c>
      <x:c r="F122" s="14" t="n">
        <x:f>IF(E122&gt;='参数'!$B$2,1,0)</x:f>
        <x:v>1</x:v>
      </x:c>
      <x:c r="G122" s="14" t="n">
        <x:v>0</x:v>
      </x:c>
      <x:c r="H122" s="28" t="str">
        <x:v>两条都用相同扫描/轨迹描述主频准确但波形不准，F4是F3的单条件展开；合并后取高分。</x:v>
      </x:c>
    </x:row>
    <x:row r="123" ht="34" customHeight="1">
      <x:c r="A123" s="14" t="str">
        <x:v>Physics_04_temporal_delay_transition</x:v>
      </x:c>
      <x:c r="B123" s="14" t="str">
        <x:v>G1</x:v>
      </x:c>
      <x:c r="C123" s="14" t="str">
        <x:v>F3</x:v>
      </x:c>
      <x:c r="D123" s="14" t="str">
        <x:v>F3</x:v>
      </x:c>
      <x:c r="E123" s="36" t="n">
        <x:f>MAX('发现明细'!G127)</x:f>
        <x:v>55.5</x:v>
      </x:c>
      <x:c r="F123" s="14" t="n">
        <x:f>IF(E123&gt;='参数'!$B$2,1,0)</x:f>
        <x:v>1</x:v>
      </x:c>
      <x:c r="G123" s="14" t="n">
        <x:v>0</x:v>
      </x:c>
      <x:c r="H123" s="28" t="str">
        <x:v>独立保留</x:v>
      </x:c>
    </x:row>
    <x:row r="124" ht="34" customHeight="1">
      <x:c r="A124" s="14" t="str">
        <x:v>Physics_04_temporal_delay_transition</x:v>
      </x:c>
      <x:c r="B124" s="14" t="str">
        <x:v>G2</x:v>
      </x:c>
      <x:c r="C124" s="14" t="str">
        <x:v>F2</x:v>
      </x:c>
      <x:c r="D124" s="14" t="str">
        <x:v>F2</x:v>
      </x:c>
      <x:c r="E124" s="36" t="n">
        <x:f>MAX('发现明细'!G126)</x:f>
        <x:v>53</x:v>
      </x:c>
      <x:c r="F124" s="14" t="n">
        <x:f>IF(E124&gt;='参数'!$B$2,1,0)</x:f>
        <x:v>1</x:v>
      </x:c>
      <x:c r="G124" s="14" t="n">
        <x:v>0</x:v>
      </x:c>
      <x:c r="H124" s="28" t="str">
        <x:v>独立保留</x:v>
      </x:c>
    </x:row>
    <x:row r="125" ht="34" customHeight="1">
      <x:c r="A125" s="14" t="str">
        <x:v>Physics_04_temporal_delay_transition</x:v>
      </x:c>
      <x:c r="B125" s="14" t="str">
        <x:v>G3</x:v>
      </x:c>
      <x:c r="C125" s="14" t="str">
        <x:v>F4</x:v>
      </x:c>
      <x:c r="D125" s="14" t="str">
        <x:v>F4</x:v>
      </x:c>
      <x:c r="E125" s="36" t="n">
        <x:f>MAX('发现明细'!G128)</x:f>
        <x:v>48.5</x:v>
      </x:c>
      <x:c r="F125" s="14" t="n">
        <x:f>IF(E125&gt;='参数'!$B$2,1,0)</x:f>
        <x:v>1</x:v>
      </x:c>
      <x:c r="G125" s="14" t="n">
        <x:v>0</x:v>
      </x:c>
      <x:c r="H125" s="28" t="str">
        <x:v>独立保留</x:v>
      </x:c>
    </x:row>
    <x:row r="126" ht="34" customHeight="1">
      <x:c r="A126" s="14" t="str">
        <x:v>Physics_04_temporal_delay_transition</x:v>
      </x:c>
      <x:c r="B126" s="14" t="str">
        <x:v>G4</x:v>
      </x:c>
      <x:c r="C126" s="14" t="str">
        <x:v>F5</x:v>
      </x:c>
      <x:c r="D126" s="14" t="str">
        <x:v>F5</x:v>
      </x:c>
      <x:c r="E126" s="36" t="n">
        <x:f>MAX('发现明细'!G129)</x:f>
        <x:v>38.5</x:v>
      </x:c>
      <x:c r="F126" s="14" t="n">
        <x:f>IF(E126&gt;='参数'!$B$2,1,0)</x:f>
        <x:v>0</x:v>
      </x:c>
      <x:c r="G126" s="14" t="n">
        <x:v>0</x:v>
      </x:c>
      <x:c r="H126" s="28" t="str">
        <x:v>独立保留</x:v>
      </x:c>
    </x:row>
    <x:row r="127" ht="34" customHeight="1">
      <x:c r="A127" s="14" t="str">
        <x:v>Physics_04_temporal_delay_transition</x:v>
      </x:c>
      <x:c r="B127" s="14" t="str">
        <x:v>G5</x:v>
      </x:c>
      <x:c r="C127" s="14" t="str">
        <x:v>F1</x:v>
      </x:c>
      <x:c r="D127" s="14" t="str">
        <x:v>F1</x:v>
      </x:c>
      <x:c r="E127" s="36" t="n">
        <x:f>MAX('发现明细'!G125)</x:f>
        <x:v>27.5</x:v>
      </x:c>
      <x:c r="F127" s="14" t="n">
        <x:f>IF(E127&gt;='参数'!$B$2,1,0)</x:f>
        <x:v>0</x:v>
      </x:c>
      <x:c r="G127" s="14" t="n">
        <x:v>0</x:v>
      </x:c>
      <x:c r="H127" s="28" t="str">
        <x:v>独立保留</x:v>
      </x:c>
    </x:row>
    <x:row r="128" ht="34" customHeight="1">
      <x:c r="A128" s="14" t="str">
        <x:v>Physics_05_variational_circuit_simulation</x:v>
      </x:c>
      <x:c r="B128" s="14" t="str">
        <x:v>G1</x:v>
      </x:c>
      <x:c r="C128" s="14" t="str">
        <x:v>F2 + F3</x:v>
      </x:c>
      <x:c r="D128" s="14" t="str">
        <x:v>F3</x:v>
      </x:c>
      <x:c r="E128" s="36" t="n">
        <x:f>MAX('发现明细'!G131,'发现明细'!G132)</x:f>
        <x:v>62</x:v>
      </x:c>
      <x:c r="F128" s="14" t="n">
        <x:f>IF(E128&gt;='参数'!$B$2,1,0)</x:f>
        <x:v>1</x:v>
      </x:c>
      <x:c r="G128" s="14" t="n">
        <x:v>0</x:v>
      </x:c>
      <x:c r="H128" s="28" t="str">
        <x:v>同三个图、同一组p1/p2/压缩保真度，分别报告下降与过阈值，保守视为同一性能发现的幅度和边界两面；取高分，不双计发现数量。</x:v>
      </x:c>
    </x:row>
    <x:row r="129" ht="34" customHeight="1">
      <x:c r="A129" s="14" t="str">
        <x:v>Physics_05_variational_circuit_simulation</x:v>
      </x:c>
      <x:c r="B129" s="14" t="str">
        <x:v>G2</x:v>
      </x:c>
      <x:c r="C129" s="14" t="str">
        <x:v>F1</x:v>
      </x:c>
      <x:c r="D129" s="14" t="str">
        <x:v>F1</x:v>
      </x:c>
      <x:c r="E129" s="36" t="n">
        <x:f>MAX('发现明细'!G130)</x:f>
        <x:v>61.5</x:v>
      </x:c>
      <x:c r="F129" s="14" t="n">
        <x:f>IF(E129&gt;='参数'!$B$2,1,0)</x:f>
        <x:v>1</x:v>
      </x:c>
      <x:c r="G129" s="14" t="n">
        <x:v>0</x:v>
      </x:c>
      <x:c r="H129" s="28" t="str">
        <x:v>独立保留</x:v>
      </x:c>
    </x:row>
    <x:row r="130" ht="34" customHeight="1">
      <x:c r="A130" s="14" t="str">
        <x:v>Physics_05_variational_circuit_simulation</x:v>
      </x:c>
      <x:c r="B130" s="14" t="str">
        <x:v>G3</x:v>
      </x:c>
      <x:c r="C130" s="14" t="str">
        <x:v>F4</x:v>
      </x:c>
      <x:c r="D130" s="14" t="str">
        <x:v>F4</x:v>
      </x:c>
      <x:c r="E130" s="36" t="n">
        <x:f>MAX('发现明细'!G133)</x:f>
        <x:v>54</x:v>
      </x:c>
      <x:c r="F130" s="14" t="n">
        <x:f>IF(E130&gt;='参数'!$B$2,1,0)</x:f>
        <x:v>1</x:v>
      </x:c>
      <x:c r="G130" s="14" t="n">
        <x:v>0</x:v>
      </x:c>
      <x:c r="H130" s="28" t="str">
        <x:v>独立保留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75" hidden="0" customWidth="1"/>
    <x:col min="7" max="7" width="56" hidden="0" customWidth="1"/>
  </x:cols>
  <x:sheetData>
    <x:row r="1" ht="32" customHeight="1">
      <x:c r="A1" s="17" t="str">
        <x:v>冻结目标匹配｜每题A、B各0 / 0.5 / 1</x:v>
      </x:c>
      <x:c r="B1" s="17"/>
      <x:c r="C1" s="17"/>
      <x:c r="D1" s="17"/>
      <x:c r="E1" s="17"/>
      <x:c r="F1" s="17"/>
      <x:c r="G1" s="17"/>
    </x:row>
    <x:row r="2" ht="38" customHeight="1">
      <x:c r="A2" s="21" t="str">
        <x:v>按同一条发现匹配对象、范围、方向和核心量；部分命中0.5。锚点非穷尽，不覆盖不等于发现无效。</x:v>
      </x:c>
      <x:c r="B2" s="21"/>
      <x:c r="C2" s="21"/>
      <x:c r="D2" s="21"/>
      <x:c r="E2" s="21"/>
      <x:c r="F2" s="21"/>
      <x:c r="G2" s="21"/>
    </x:row>
    <x:row r="3" ht="28" customHeight="1">
      <x:c r="A3" s="14"/>
      <x:c r="B3" s="14"/>
      <x:c r="C3" s="14"/>
      <x:c r="D3" s="14"/>
      <x:c r="E3" s="14"/>
      <x:c r="F3" s="14"/>
      <x:c r="G3" s="14"/>
    </x:row>
    <x:row r="4" ht="28" customHeight="1">
      <x:c r="A4" s="14"/>
      <x:c r="B4" s="14"/>
      <x:c r="C4" s="14"/>
      <x:c r="D4" s="14"/>
      <x:c r="E4" s="14"/>
      <x:c r="F4" s="14"/>
      <x:c r="G4" s="14"/>
    </x:row>
    <x:row r="5" ht="30" customHeight="1">
      <x:c r="A5" s="5" t="str">
        <x:v>任务ID</x:v>
      </x:c>
      <x:c r="B5" s="5" t="str">
        <x:v>A对应发现</x:v>
      </x:c>
      <x:c r="C5" s="5" t="str">
        <x:v>A等级</x:v>
      </x:c>
      <x:c r="D5" s="5" t="str">
        <x:v>B对应发现</x:v>
      </x:c>
      <x:c r="E5" s="5" t="str">
        <x:v>B等级</x:v>
      </x:c>
      <x:c r="F5" s="5" t="str">
        <x:v>匹配依据</x:v>
      </x:c>
      <x:c r="G5" s="5" t="str">
        <x:v>冻结资产来源</x:v>
      </x:c>
    </x:row>
    <x:row r="6" ht="75" customHeight="1">
      <x:c r="A6" s="14" t="str">
        <x:v>Astronomy_01_radio_burst_drift</x:v>
      </x:c>
      <x:c r="B6" s="14" t="str">
        <x:v>—</x:v>
      </x:c>
      <x:c r="C6" s="40" t="n">
        <x:v>0</x:v>
      </x:c>
      <x:c r="D6" s="14" t="str">
        <x:v>—</x:v>
      </x:c>
      <x:c r="E6" s="40" t="n">
        <x:v>0</x:v>
      </x:c>
      <x:c r="F6" s="28" t="str">
        <x:v>主要发现是像素重建失败和数据加工边界，没有恢复目标A的快分支比例或目标B的慢/快分支比例及漂移量。</x:v>
      </x:c>
      <x:c r="G6" s="28" t="str">
        <x:v>https://raw.githubusercontent.com/ZYDTR/truthinsightbench-dwf-scoring/main/TruthInsightBench/evaluation/evaluator/tasks/Astronomy_01_radio_burst_drift/validation_anchors.json</x:v>
      </x:c>
    </x:row>
    <x:row r="7" ht="75" customHeight="1">
      <x:c r="A7" s="14" t="str">
        <x:v>Astronomy_02_gravity_spectral_structure</x:v>
      </x:c>
      <x:c r="B7" s="14" t="str">
        <x:v>F1</x:v>
      </x:c>
      <x:c r="C7" s="40" t="n">
        <x:v>0.5</x:v>
      </x:c>
      <x:c r="D7" s="14" t="str">
        <x:v>F2</x:v>
      </x:c>
      <x:c r="E7" s="40" t="n">
        <x:v>1</x:v>
      </x:c>
      <x:c r="F7" s="28" t="str">
        <x:v>A：恢复B&lt;C&lt;A的方向，但0.5413是中位比值，不是冻结总体RMS比0.7546。B：同一发现F2覆盖约1478.2的信息准则差和1010频率等核心结果。</x:v>
      </x:c>
      <x:c r="G7" s="28" t="str">
        <x:v>https://raw.githubusercontent.com/ZYDTR/truthinsightbench-dwf-scoring/main/TruthInsightBench/evaluation/evaluator/tasks/Astronomy_02_gravity_spectral_structure/validation_anchors.json</x:v>
      </x:c>
    </x:row>
    <x:row r="8" ht="75" customHeight="1">
      <x:c r="A8" s="14" t="str">
        <x:v>Astronomy_03_stellar_spectral_boundary</x:v>
      </x:c>
      <x:c r="B8" s="14" t="str">
        <x:v>F1</x:v>
      </x:c>
      <x:c r="C8" s="40" t="n">
        <x:v>0.5</x:v>
      </x:c>
      <x:c r="D8" s="14" t="str">
        <x:v>F3</x:v>
      </x:c>
      <x:c r="E8" s="40" t="n">
        <x:v>0.5</x:v>
      </x:c>
      <x:c r="F8" s="28" t="str">
        <x:v>A：恢复紫外随金属丰度降低的方向，未齐备冻结极端比值。B：恢复归一化曲线结构相近，未完整报告最低相关与峰位跨度。</x:v>
      </x:c>
      <x:c r="G8" s="28" t="str">
        <x:v>https://raw.githubusercontent.com/ZYDTR/truthinsightbench-dwf-scoring/main/TruthInsightBench/evaluation/evaluator/tasks/Astronomy_03_stellar_spectral_boundary/validation_anchors.json</x:v>
      </x:c>
    </x:row>
    <x:row r="9" ht="75" customHeight="1">
      <x:c r="A9" s="14" t="str">
        <x:v>Chemistry_01_bond_enthalpy_domain</x:v>
      </x:c>
      <x:c r="B9" s="14" t="str">
        <x:v>F1</x:v>
      </x:c>
      <x:c r="C9" s="40" t="n">
        <x:v>0.5</x:v>
      </x:c>
      <x:c r="D9" s="14" t="str">
        <x:v>F4</x:v>
      </x:c>
      <x:c r="E9" s="40" t="n">
        <x:v>0.5</x:v>
      </x:c>
      <x:c r="F9" s="28" t="str">
        <x:v>A：F1恢复数据库规模、分子数与域边界，但缺C–H占比0.66394核心量。B：F4列出三通道MAE，缺±3 kcal/mol覆盖率0.72744，故部分恢复。</x:v>
      </x:c>
      <x:c r="G9" s="28" t="str">
        <x:v>https://raw.githubusercontent.com/ZYDTR/truthinsightbench-dwf-scoring/main/TruthInsightBench/evaluation/evaluator/tasks/Chemistry_01_bond_enthalpy_domain/validation_anchors.json</x:v>
      </x:c>
    </x:row>
    <x:row r="10" ht="75" customHeight="1">
      <x:c r="A10" s="14" t="str">
        <x:v>Chemistry_02_photoionization_delay</x:v>
      </x:c>
      <x:c r="B10" s="14" t="str">
        <x:v>—</x:v>
      </x:c>
      <x:c r="C10" s="40" t="n">
        <x:v>0</x:v>
      </x:c>
      <x:c r="D10" s="14" t="str">
        <x:v>F3</x:v>
      </x:c>
      <x:c r="E10" s="40" t="n">
        <x:v>0.5</x:v>
      </x:c>
      <x:c r="F10" s="28" t="str">
        <x:v>A：没有在单条发现中恢复31 eV角向对比的两项冻结核心量。B：F3恢复相位导数与延迟的方向/换算关系，但未报告冻结的两个相关系数。</x:v>
      </x:c>
      <x:c r="G10" s="28" t="str">
        <x:v>https://raw.githubusercontent.com/ZYDTR/truthinsightbench-dwf-scoring/main/TruthInsightBench/evaluation/evaluator/tasks/Chemistry_02_photoionization_delay/validation_anchors.json</x:v>
      </x:c>
    </x:row>
    <x:row r="11" ht="75" customHeight="1">
      <x:c r="A11" s="14" t="str">
        <x:v>Chemistry_03_catalysis_response_landscape</x:v>
      </x:c>
      <x:c r="B11" s="14" t="str">
        <x:v>F1</x:v>
      </x:c>
      <x:c r="C11" s="40" t="n">
        <x:v>0.5</x:v>
      </x:c>
      <x:c r="D11" s="14" t="str">
        <x:v>F3</x:v>
      </x:c>
      <x:c r="E11" s="40" t="n">
        <x:v>0.5</x:v>
      </x:c>
      <x:c r="F11" s="28" t="str">
        <x:v>A：F1恢复主因子相对重要性，但方差贡献不是冻结中位跨度。B：F3/F5涉及成对响应，却没有同一发现齐备三面板的冻结相关量。</x:v>
      </x:c>
      <x:c r="G11" s="28" t="str">
        <x:v>https://raw.githubusercontent.com/ZYDTR/truthinsightbench-dwf-scoring/main/TruthInsightBench/evaluation/evaluator/tasks/Chemistry_03_catalysis_response_landscape/validation_anchors.json</x:v>
      </x:c>
    </x:row>
    <x:row r="12" ht="75" customHeight="1">
      <x:c r="A12" s="14" t="str">
        <x:v>EarthScience_01_glacial_fluvial_erosion</x:v>
      </x:c>
      <x:c r="B12" s="14" t="str">
        <x:v>F4</x:v>
      </x:c>
      <x:c r="C12" s="40" t="n">
        <x:v>0.5</x:v>
      </x:c>
      <x:c r="D12" s="14" t="str">
        <x:v>F1</x:v>
      </x:c>
      <x:c r="E12" s="40" t="n">
        <x:v>0.5</x:v>
      </x:c>
      <x:c r="F12" s="28" t="str">
        <x:v>A：比较了冰川和非冰川条件，但非冰川不等于冻结的河流范围，且几何比7.58895未恢复。B：恢复侵蚀率×时间的近固定厚度关系，子集统计并非全部3642个样本的冻结量。</x:v>
      </x:c>
      <x:c r="G12" s="28" t="str">
        <x:v>https://raw.githubusercontent.com/ZYDTR/truthinsightbench-dwf-scoring/main/TruthInsightBench/evaluation/evaluator/tasks/EarthScience_01_glacial_fluvial_erosion/validation_anchors.json</x:v>
      </x:c>
    </x:row>
    <x:row r="13" ht="75" customHeight="1">
      <x:c r="A13" s="14" t="str">
        <x:v>EarthScience_02_ice_particle_composition</x:v>
      </x:c>
      <x:c r="B13" s="14" t="str">
        <x:v>F1</x:v>
      </x:c>
      <x:c r="C13" s="40" t="n">
        <x:v>0.5</x:v>
      </x:c>
      <x:c r="D13" s="14" t="str">
        <x:v>F4</x:v>
      </x:c>
      <x:c r="E13" s="40" t="n">
        <x:v>0.5</x:v>
      </x:c>
      <x:c r="F13" s="28" t="str">
        <x:v>A：站间异质性及站点杠杆得到部分恢复，未齐备中位丰度比16.7778。B：聚乙烯/涂料的组成优势被涉及，但未齐备78.69%和0.90两个冻结量。</x:v>
      </x:c>
      <x:c r="G13" s="28" t="str">
        <x:v>https://raw.githubusercontent.com/ZYDTR/truthinsightbench-dwf-scoring/main/TruthInsightBench/evaluation/evaluator/tasks/EarthScience_02_ice_particle_composition/validation_anchors.json</x:v>
      </x:c>
    </x:row>
    <x:row r="14" ht="75" customHeight="1">
      <x:c r="A14" s="14" t="str">
        <x:v>EarthScience_03_ice_core_event_structure</x:v>
      </x:c>
      <x:c r="B14" s="14" t="str">
        <x:v>F4</x:v>
      </x:c>
      <x:c r="C14" s="40" t="n">
        <x:v>0.5</x:v>
      </x:c>
      <x:c r="D14" s="14" t="str">
        <x:v>F3</x:v>
      </x:c>
      <x:c r="E14" s="40" t="n">
        <x:v>0.5</x:v>
      </x:c>
      <x:c r="F14" s="28" t="str">
        <x:v>A：事件富集与检测阈值依赖得到部分覆盖，但14事件及局部中位富集2.7043未在同一发现齐备。B：背景弱趋势有部分对应，未恢复冻结四分位背景比。</x:v>
      </x:c>
      <x:c r="G14" s="28" t="str">
        <x:v>https://raw.githubusercontent.com/ZYDTR/truthinsightbench-dwf-scoring/main/TruthInsightBench/evaluation/evaluator/tasks/EarthScience_03_ice_core_event_structure/validation_anchors.json</x:v>
      </x:c>
    </x:row>
    <x:row r="15" ht="75" customHeight="1">
      <x:c r="A15" s="14" t="str">
        <x:v>EarthScience_04_ocean_thermal_coupling</x:v>
      </x:c>
      <x:c r="B15" s="14" t="str">
        <x:v>F3</x:v>
      </x:c>
      <x:c r="C15" s="40" t="n">
        <x:v>0.5</x:v>
      </x:c>
      <x:c r="D15" s="14" t="str">
        <x:v>F1</x:v>
      </x:c>
      <x:c r="E15" s="40" t="n">
        <x:v>0.5</x:v>
      </x:c>
      <x:c r="F15" s="28" t="str">
        <x:v>A：发现年龄坐标局部差别与总体近似一致，未恢复两个冻结相关量。B：非单调变化得到覆盖，但8块中位跨度/跳变量未齐备。</x:v>
      </x:c>
      <x:c r="G15" s="28" t="str">
        <x:v>https://raw.githubusercontent.com/ZYDTR/truthinsightbench-dwf-scoring/main/TruthInsightBench/evaluation/evaluator/tasks/EarthScience_04_ocean_thermal_coupling/validation_anchors.json</x:v>
      </x:c>
    </x:row>
    <x:row r="16" ht="75" customHeight="1">
      <x:c r="A16" s="14" t="str">
        <x:v>Energy_01_photocatalytic_tradeoffs</x:v>
      </x:c>
      <x:c r="B16" s="14" t="str">
        <x:v>F1</x:v>
      </x:c>
      <x:c r="C16" s="40" t="n">
        <x:v>0.5</x:v>
      </x:c>
      <x:c r="D16" s="14" t="str">
        <x:v>F2</x:v>
      </x:c>
      <x:c r="E16" s="40" t="n">
        <x:v>0.5</x:v>
      </x:c>
      <x:c r="F16" s="28" t="str">
        <x:v>A：四配方排序和约54.8倍尺度得到恢复，未齐备同估计器的最大/最小冻结斜率。B：吸收与作用谱总体同向，但重点为红端偏离，两个冻结相关量未齐备。</x:v>
      </x:c>
      <x:c r="G16" s="28" t="str">
        <x:v>https://raw.githubusercontent.com/ZYDTR/truthinsightbench-dwf-scoring/main/TruthInsightBench/evaluation/evaluator/tasks/Energy_01_photocatalytic_tradeoffs/validation_anchors.json</x:v>
      </x:c>
    </x:row>
    <x:row r="17" ht="75" customHeight="1">
      <x:c r="A17" s="14" t="str">
        <x:v>Energy_02_flow_battery_operating_boundary</x:v>
      </x:c>
      <x:c r="B17" s="14" t="str">
        <x:v>F3</x:v>
      </x:c>
      <x:c r="C17" s="40" t="n">
        <x:v>0.5</x:v>
      </x:c>
      <x:c r="D17" s="14" t="str">
        <x:v>F5</x:v>
      </x:c>
      <x:c r="E17" s="40" t="n">
        <x:v>0.5</x:v>
      </x:c>
      <x:c r="F17" s="28" t="str">
        <x:v>A：效率下降与功率采样峰分别得到恢复，但没有单条发现齐备冻结联合条件。B：600周期及斜率接近目标；端点或20点均值保留率不同于冻结50点中位定义。</x:v>
      </x:c>
      <x:c r="G17" s="28" t="str">
        <x:v>https://raw.githubusercontent.com/ZYDTR/truthinsightbench-dwf-scoring/main/TruthInsightBench/evaluation/evaluator/tasks/Energy_02_flow_battery_operating_boundary/validation_anchors.json</x:v>
      </x:c>
    </x:row>
    <x:row r="18" ht="75" customHeight="1">
      <x:c r="A18" s="14" t="str">
        <x:v>Energy_03_interface_response_boundaries</x:v>
      </x:c>
      <x:c r="B18" s="14" t="str">
        <x:v>F1</x:v>
      </x:c>
      <x:c r="C18" s="40" t="n">
        <x:v>0.5</x:v>
      </x:c>
      <x:c r="D18" s="14" t="str">
        <x:v>F5</x:v>
      </x:c>
      <x:c r="E18" s="40" t="n">
        <x:v>0.5</x:v>
      </x:c>
      <x:c r="F18" s="28" t="str">
        <x:v>A：热激活的正方向与高温斜率得到部分恢复，但高温子集斜率不是全范围冻结最小斜率。B：核对曲线相近/重复得到部分恢复，未齐备所有共享曲线的冻结最小相关。</x:v>
      </x:c>
      <x:c r="G18" s="28" t="str">
        <x:v>https://raw.githubusercontent.com/ZYDTR/truthinsightbench-dwf-scoring/main/TruthInsightBench/evaluation/evaluator/tasks/Energy_03_interface_response_boundaries/validation_anchors.json</x:v>
      </x:c>
    </x:row>
    <x:row r="19" ht="75" customHeight="1">
      <x:c r="A19" s="14" t="str">
        <x:v>Energy_04_biohybrid_operating_tradeoffs</x:v>
      </x:c>
      <x:c r="B19" s="14" t="str">
        <x:v>F5</x:v>
      </x:c>
      <x:c r="C19" s="40" t="n">
        <x:v>1</x:v>
      </x:c>
      <x:c r="D19" s="14" t="str">
        <x:v>F5</x:v>
      </x:c>
      <x:c r="E19" s="40" t="n">
        <x:v>1</x:v>
      </x:c>
      <x:c r="F19" s="28" t="str">
        <x:v>A：F5表内端点可计算控制、a、b保留率，符合1.00478、0.86558、0.70862及方向。B：同一F5明确3个剂量、无误差项、删点最优不可识别。</x:v>
      </x:c>
      <x:c r="G19" s="28" t="str">
        <x:v>https://raw.githubusercontent.com/ZYDTR/truthinsightbench-dwf-scoring/main/TruthInsightBench/evaluation/evaluator/tasks/Energy_04_biohybrid_operating_tradeoffs/validation_anchors.json</x:v>
      </x:c>
    </x:row>
    <x:row r="20" ht="75" customHeight="1">
      <x:c r="A20" s="14" t="str">
        <x:v>Information_03_signal_surface_invariants</x:v>
      </x:c>
      <x:c r="B20" s="14" t="str">
        <x:v>F1</x:v>
      </x:c>
      <x:c r="C20" s="40" t="n">
        <x:v>0.5</x:v>
      </x:c>
      <x:c r="D20" s="14" t="str">
        <x:v>—</x:v>
      </x:c>
      <x:c r="E20" s="40" t="n">
        <x:v>0</x:v>
      </x:c>
      <x:c r="F20" s="28" t="str">
        <x:v>A：主面板的跨重复结构稳定获得部分支持，未在同一发现齐备两面板的冻结重复相关量。B：跨面板水平/噪声分析不是独立面板逐行逐列的归一化通道对齐，核心边界未恢复。</x:v>
      </x:c>
      <x:c r="G20" s="28" t="str">
        <x:v>https://raw.githubusercontent.com/ZYDTR/truthinsightbench-dwf-scoring/main/TruthInsightBench/evaluation/evaluator/tasks/Information_03_signal_surface_invariants/validation_anchors.json</x:v>
      </x:c>
    </x:row>
    <x:row r="21" ht="75" customHeight="1">
      <x:c r="A21" s="14" t="str">
        <x:v>Life_02_contextual_immune_response</x:v>
      </x:c>
      <x:c r="B21" s="14" t="str">
        <x:v>F1</x:v>
      </x:c>
      <x:c r="C21" s="40" t="n">
        <x:v>0.5</x:v>
      </x:c>
      <x:c r="D21" s="14" t="str">
        <x:v>F1</x:v>
      </x:c>
      <x:c r="E21" s="40" t="n">
        <x:v>0.5</x:v>
      </x:c>
      <x:c r="F21" s="28" t="str">
        <x:v>A：F1的18/18增加与冻结方向一致，但用几何均值比而非冻结均值比。B：归入F1的支持结果覆盖A类强、B类弱，缺同口径的两项冻结比值。</x:v>
      </x:c>
      <x:c r="G21" s="28" t="str">
        <x:v>https://raw.githubusercontent.com/ZYDTR/truthinsightbench-dwf-scoring/main/TruthInsightBench/evaluation/evaluator/tasks/Life_02_contextual_immune_response/validation_anchors.json</x:v>
      </x:c>
    </x:row>
    <x:row r="22" ht="75" customHeight="1">
      <x:c r="A22" s="14" t="str">
        <x:v>Life_04_environmental_transfer_boundary</x:v>
      </x:c>
      <x:c r="B22" s="14" t="str">
        <x:v>F2</x:v>
      </x:c>
      <x:c r="C22" s="40" t="n">
        <x:v>0.5</x:v>
      </x:c>
      <x:c r="D22" s="14" t="str">
        <x:v>F1</x:v>
      </x:c>
      <x:c r="E22" s="40" t="n">
        <x:v>0.5</x:v>
      </x:c>
      <x:c r="F22" s="28" t="str">
        <x:v>A：恢复assay指标与环境阳性的关联边界，未齐备25.69/33.04及−0.60206核心量。B：位点异质性与症状弱差异分布在不同发现，不能拼接成完整恢复。</x:v>
      </x:c>
      <x:c r="G22" s="28" t="str">
        <x:v>https://raw.githubusercontent.com/ZYDTR/truthinsightbench-dwf-scoring/main/TruthInsightBench/evaluation/evaluator/tasks/Life_04_environmental_transfer_boundary/validation_anchors.json</x:v>
      </x:c>
    </x:row>
    <x:row r="23" ht="75" customHeight="1">
      <x:c r="A23" s="14" t="str">
        <x:v>Life_05_developmental_interaction_structure</x:v>
      </x:c>
      <x:c r="B23" s="14" t="str">
        <x:v>F1</x:v>
      </x:c>
      <x:c r="C23" s="40" t="n">
        <x:v>0.5</x:v>
      </x:c>
      <x:c r="D23" s="14" t="str">
        <x:v>F4</x:v>
      </x:c>
      <x:c r="E23" s="40" t="n">
        <x:v>0.5</x:v>
      </x:c>
      <x:c r="F23" s="28" t="str">
        <x:v>A：阶段正向变化获得部分覆盖，未齐备早晚阶段均值/位移及9对比较。B：家族占据和证据不稳定得到部分覆盖，但显著家族948及持久/单次占比未以冻结定义恢复。</x:v>
      </x:c>
      <x:c r="G23" s="28" t="str">
        <x:v>https://raw.githubusercontent.com/ZYDTR/truthinsightbench-dwf-scoring/main/TruthInsightBench/evaluation/evaluator/tasks/Life_05_developmental_interaction_structure/validation_anchors.json</x:v>
      </x:c>
    </x:row>
    <x:row r="24" ht="75" customHeight="1">
      <x:c r="A24" s="14" t="str">
        <x:v>Math_02_compositional_invariants</x:v>
      </x:c>
      <x:c r="B24" s="14" t="str">
        <x:v>F2</x:v>
      </x:c>
      <x:c r="C24" s="40" t="n">
        <x:v>0.5</x:v>
      </x:c>
      <x:c r="D24" s="14" t="str">
        <x:v>F3</x:v>
      </x:c>
      <x:c r="E24" s="40" t="n">
        <x:v>0.5</x:v>
      </x:c>
      <x:c r="F24" s="28" t="str">
        <x:v>A：整体及条件相关的正方向获得覆盖，未完整对齐冻结最小组内相关。B：场景间次序稳定有支持，报告平均差而不是两个冻结中位差。</x:v>
      </x:c>
      <x:c r="G24" s="28" t="str">
        <x:v>https://raw.githubusercontent.com/ZYDTR/truthinsightbench-dwf-scoring/main/TruthInsightBench/evaluation/evaluator/tasks/Math_02_compositional_invariants/validation_anchors.json</x:v>
      </x:c>
    </x:row>
    <x:row r="25" ht="75" customHeight="1">
      <x:c r="A25" s="14" t="str">
        <x:v>Neuro_02_calcium_response_regions</x:v>
      </x:c>
      <x:c r="B25" s="14" t="str">
        <x:v>F1</x:v>
      </x:c>
      <x:c r="C25" s="40" t="n">
        <x:v>0.5</x:v>
      </x:c>
      <x:c r="D25" s="14" t="str">
        <x:v>F2</x:v>
      </x:c>
      <x:c r="E25" s="40" t="n">
        <x:v>0.5</x:v>
      </x:c>
      <x:c r="F25" s="28" t="str">
        <x:v>A：刺激增加宽度方向一致，但报告调整后差值而非两区域冻结宽度比。B：区域宽度/频率反向关系得到部分恢复，未报告两项冻结比值。</x:v>
      </x:c>
      <x:c r="G25" s="28" t="str">
        <x:v>https://raw.githubusercontent.com/ZYDTR/truthinsightbench-dwf-scoring/main/TruthInsightBench/evaluation/evaluator/tasks/Neuro_02_calcium_response_regions/validation_anchors.json</x:v>
      </x:c>
    </x:row>
    <x:row r="26" ht="75" customHeight="1">
      <x:c r="A26" s="14" t="str">
        <x:v>Neuro_03_spatial_code_stability</x:v>
      </x:c>
      <x:c r="B26" s="14" t="str">
        <x:v>F1</x:v>
      </x:c>
      <x:c r="C26" s="40" t="n">
        <x:v>0.5</x:v>
      </x:c>
      <x:c r="D26" s="14" t="str">
        <x:v>F1</x:v>
      </x:c>
      <x:c r="E26" s="40" t="n">
        <x:v>0.5</x:v>
      </x:c>
      <x:c r="F26" s="28" t="str">
        <x:v>A：动物级环境改变后稳定性下降得到恢复，但文内主要量不是冻结的两个动物平均差。B：平均活动与稳定性的联合解离未在同一发现完整量化。</x:v>
      </x:c>
      <x:c r="G26" s="28" t="str">
        <x:v>https://raw.githubusercontent.com/ZYDTR/truthinsightbench-dwf-scoring/main/TruthInsightBench/evaluation/evaluator/tasks/Neuro_03_spatial_code_stability/validation_anchors.json</x:v>
      </x:c>
    </x:row>
    <x:row r="27" ht="75" customHeight="1">
      <x:c r="A27" s="14" t="str">
        <x:v>Neuro_04_temporal_geometry</x:v>
      </x:c>
      <x:c r="B27" s="14" t="str">
        <x:v>F3</x:v>
      </x:c>
      <x:c r="C27" s="40" t="n">
        <x:v>0.5</x:v>
      </x:c>
      <x:c r="D27" s="14" t="str">
        <x:v>F1</x:v>
      </x:c>
      <x:c r="E27" s="40" t="n">
        <x:v>0.5</x:v>
      </x:c>
      <x:c r="F27" s="28" t="str">
        <x:v>A：事件前后信号差异方向与目标部分吻合，但二分正负时间不是冻结连续时间相关。B：距离与均值、离散度的两个冻结相关分别在F1/F2，不拼接为满恢复。</x:v>
      </x:c>
      <x:c r="G27" s="28" t="str">
        <x:v>https://raw.githubusercontent.com/ZYDTR/truthinsightbench-dwf-scoring/main/TruthInsightBench/evaluation/evaluator/tasks/Neuro_04_temporal_geometry/validation_anchors.json</x:v>
      </x:c>
    </x:row>
    <x:row r="28" ht="75" customHeight="1">
      <x:c r="A28" s="14" t="str">
        <x:v>Physics_01_dynamic_nuclear_polarization_echoes</x:v>
      </x:c>
      <x:c r="B28" s="14" t="str">
        <x:v>—</x:v>
      </x:c>
      <x:c r="C28" s="40" t="n">
        <x:v>0</x:v>
      </x:c>
      <x:c r="D28" s="14" t="str">
        <x:v>—</x:v>
      </x:c>
      <x:c r="E28" s="40" t="n">
        <x:v>0</x:v>
      </x:c>
      <x:c r="F28" s="28" t="str">
        <x:v>A：主要分析整条EPR包络幅度，未恢复2*t_inv局部回波时刻与短/长归一化幅度。B：NMR积分/相位条件峰值不等于冻结最低点时刻与局部残留的联合命题。</x:v>
      </x:c>
      <x:c r="G28" s="28" t="str">
        <x:v>https://raw.githubusercontent.com/ZYDTR/truthinsightbench-dwf-scoring/main/TruthInsightBench/evaluation/evaluator/tasks/Physics_01_dynamic_nuclear_polarization_echoes/validation_anchors.json</x:v>
      </x:c>
    </x:row>
    <x:row r="29" ht="75" customHeight="1">
      <x:c r="A29" s="14" t="str">
        <x:v>Physics_02_multiorbital_transition</x:v>
      </x:c>
      <x:c r="B29" s="14" t="str">
        <x:v>F1</x:v>
      </x:c>
      <x:c r="C29" s="40" t="n">
        <x:v>0.5</x:v>
      </x:c>
      <x:c r="D29" s="14" t="str">
        <x:v>F2</x:v>
      </x:c>
      <x:c r="E29" s="40" t="n">
        <x:v>0.5</x:v>
      </x:c>
      <x:c r="F29" s="28" t="str">
        <x:v>A：分支能隙过阈值方向覆盖部分对象，但不是冻结双中位曲线共同0.8–0.9起点。B：最低谱简并与局域矩趋势分别出现，未在同一发现齐备联合转变边界。</x:v>
      </x:c>
      <x:c r="G29" s="28" t="str">
        <x:v>https://raw.githubusercontent.com/ZYDTR/truthinsightbench-dwf-scoring/main/TruthInsightBench/evaluation/evaluator/tasks/Physics_02_multiorbital_transition/validation_anchors.json</x:v>
      </x:c>
    </x:row>
    <x:row r="30" ht="75" customHeight="1">
      <x:c r="A30" s="14" t="str">
        <x:v>Physics_03_controlled_dynamics_forecast</x:v>
      </x:c>
      <x:c r="B30" s="14" t="str">
        <x:v>F1</x:v>
      </x:c>
      <x:c r="C30" s="40" t="n">
        <x:v>0.5</x:v>
      </x:c>
      <x:c r="D30" s="14" t="str">
        <x:v>F2</x:v>
      </x:c>
      <x:c r="E30" s="40" t="n">
        <x:v>1</x:v>
      </x:c>
      <x:c r="F30" s="28" t="str">
        <x:v>A：F1恢复低MAE与扫描方向，但缺冻结最小频率相关和全部斜率一致条件。B：F2的三条相关和归一化RMSE与冻结量完整对应。</x:v>
      </x:c>
      <x:c r="G30" s="28" t="str">
        <x:v>https://raw.githubusercontent.com/ZYDTR/truthinsightbench-dwf-scoring/main/TruthInsightBench/evaluation/evaluator/tasks/Physics_03_controlled_dynamics_forecast/validation_anchors.json</x:v>
      </x:c>
    </x:row>
    <x:row r="31" ht="75" customHeight="1">
      <x:c r="A31" s="14" t="str">
        <x:v>Physics_04_temporal_delay_transition</x:v>
      </x:c>
      <x:c r="B31" s="14" t="str">
        <x:v>—</x:v>
      </x:c>
      <x:c r="C31" s="40" t="n">
        <x:v>0</x:v>
      </x:c>
      <x:c r="D31" s="14" t="str">
        <x:v>F2</x:v>
      </x:c>
      <x:c r="E31" s="40" t="n">
        <x:v>0.5</x:v>
      </x:c>
      <x:c r="F31" s="28" t="str">
        <x:v>A：报告的正向V(B)和约1.42边界与冻结约3.673及负斜率不符，变量映射未通过。B：相关时间按条件下降得到部分覆盖，但临界值与指数1.69357未恢复。</x:v>
      </x:c>
      <x:c r="G31" s="28" t="str">
        <x:v>https://raw.githubusercontent.com/ZYDTR/truthinsightbench-dwf-scoring/main/TruthInsightBench/evaluation/evaluator/tasks/Physics_04_temporal_delay_transition/validation_anchors.json</x:v>
      </x:c>
    </x:row>
    <x:row r="32" ht="75" customHeight="1">
      <x:c r="A32" s="14" t="str">
        <x:v>Physics_05_variational_circuit_simulation</x:v>
      </x:c>
      <x:c r="B32" s="14" t="str">
        <x:v>F1</x:v>
      </x:c>
      <x:c r="C32" s="40" t="n">
        <x:v>1</x:v>
      </x:c>
      <x:c r="D32" s="14" t="str">
        <x:v>F3</x:v>
      </x:c>
      <x:c r="E32" s="40" t="n">
        <x:v>1</x:v>
      </x:c>
      <x:c r="F32" s="28" t="str">
        <x:v>A：F1的12案例最小精确保真度与冻结原始JSON一致。B：F2/F3中单条表格齐备p1、p2、压缩及门操作最小保真度，覆盖全部核心量。</x:v>
      </x:c>
      <x:c r="G32" s="28" t="str">
        <x:v>https://raw.githubusercontent.com/ZYDTR/truthinsightbench-dwf-scoring/main/TruthInsightBench/evaluation/evaluator/tasks/Physics_05_variational_circuit_simulation/validation_anchors.json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2" hidden="0" customWidth="1"/>
    <x:col min="4" max="4" width="22" hidden="0" customWidth="1"/>
    <x:col min="5" max="5" width="60" hidden="0" customWidth="1"/>
  </x:cols>
  <x:sheetData>
    <x:row r="1" ht="32" customHeight="1">
      <x:c r="A1" s="17" t="str">
        <x:v>29项评分尺｜权重合计100</x:v>
      </x:c>
      <x:c r="B1" s="17"/>
      <x:c r="C1" s="17"/>
      <x:c r="D1" s="17"/>
      <x:c r="E1" s="17"/>
    </x:row>
    <x:row r="2" ht="38" customHeight="1">
      <x:c r="A2" s="21" t="str">
        <x:v>动作等级统一为0 / 0.5 / 1；语义判断及未完成验证的处理方式见“说明”。</x:v>
      </x:c>
      <x:c r="B2" s="21"/>
      <x:c r="C2" s="21"/>
      <x:c r="D2" s="21"/>
      <x:c r="E2" s="21"/>
    </x:row>
    <x:row r="3" ht="28" customHeight="1">
      <x:c r="A3" s="14"/>
      <x:c r="B3" s="14"/>
      <x:c r="C3" s="14"/>
      <x:c r="D3" s="14"/>
      <x:c r="E3" s="14"/>
    </x:row>
    <x:row r="4" ht="28" customHeight="1">
      <x:c r="A4" s="14"/>
      <x:c r="B4" s="14"/>
      <x:c r="C4" s="14"/>
      <x:c r="D4" s="14"/>
      <x:c r="E4" s="14"/>
    </x:row>
    <x:row r="5" ht="30" customHeight="1">
      <x:c r="A5" s="5" t="str">
        <x:v>序号</x:v>
      </x:c>
      <x:c r="B5" s="5" t="str">
        <x:v>动作</x:v>
      </x:c>
      <x:c r="C5" s="5" t="str">
        <x:v>满分权重</x:v>
      </x:c>
      <x:c r="D5" s="5" t="str">
        <x:v>大类</x:v>
      </x:c>
      <x:c r="E5" s="5" t="str">
        <x:v>本次执行口径</x:v>
      </x:c>
    </x:row>
    <x:row r="6" ht="42" customHeight="1">
      <x:c r="A6" s="14" t="str">
        <x:v>1.1</x:v>
      </x:c>
      <x:c r="B6" s="14" t="str">
        <x:v>数据身份</x:v>
      </x:c>
      <x:c r="C6" s="14" t="n">
        <x:v>4</x:v>
      </x:c>
      <x:c r="D6" s="14" t="str">
        <x:v>证据</x:v>
      </x:c>
      <x:c r="E6" s="28" t="str">
        <x:v>统一0.5：清单/回执支持，未全量独立重验哈希。</x:v>
      </x:c>
    </x:row>
    <x:row r="7" ht="42" customHeight="1">
      <x:c r="A7" s="14" t="str">
        <x:v>1.2</x:v>
      </x:c>
      <x:c r="B7" s="14" t="str">
        <x:v>对象、范围与独立单位</x:v>
      </x:c>
      <x:c r="C7" s="14" t="n">
        <x:v>4</x:v>
      </x:c>
      <x:c r="D7" s="14" t="str">
        <x:v>证据</x:v>
      </x:c>
      <x:c r="E7" s="28" t="str">
        <x:v>按证据、范围、竞争解释与反例逐发现判断，详见发现明细。</x:v>
      </x:c>
    </x:row>
    <x:row r="8" ht="42" customHeight="1">
      <x:c r="A8" s="14" t="str">
        <x:v>1.3</x:v>
      </x:c>
      <x:c r="B8" s="14" t="str">
        <x:v>执行回执</x:v>
      </x:c>
      <x:c r="C8" s="14" t="n">
        <x:v>6</x:v>
      </x:c>
      <x:c r="D8" s="14" t="str">
        <x:v>证据</x:v>
      </x:c>
      <x:c r="E8" s="28" t="str">
        <x:v>有成对源码与结果通常0.5；未重跑完整流程。</x:v>
      </x:c>
    </x:row>
    <x:row r="9" ht="42" customHeight="1">
      <x:c r="A9" s="14" t="str">
        <x:v>1.4</x:v>
      </x:c>
      <x:c r="B9" s="14" t="str">
        <x:v>产物可追溯性</x:v>
      </x:c>
      <x:c r="C9" s="14" t="n">
        <x:v>4</x:v>
      </x:c>
      <x:c r="D9" s="14" t="str">
        <x:v>证据</x:v>
      </x:c>
      <x:c r="E9" s="28" t="str">
        <x:v>按证据、范围、竞争解释与反例逐发现判断，详见发现明细。</x:v>
      </x:c>
    </x:row>
    <x:row r="10" ht="42" customHeight="1">
      <x:c r="A10" s="14" t="str">
        <x:v>1.5</x:v>
      </x:c>
      <x:c r="B10" s="14" t="str">
        <x:v>核心判定数量核验</x:v>
      </x:c>
      <x:c r="C10" s="14" t="n">
        <x:v>10</x:v>
      </x:c>
      <x:c r="D10" s="14" t="str">
        <x:v>证据</x:v>
      </x:c>
      <x:c r="E10" s="28" t="str">
        <x:v>可追溯但未完整复算通常0.5；已核对简单核心量可为1，明确错误为0。</x:v>
      </x:c>
    </x:row>
    <x:row r="11" ht="42" customHeight="1">
      <x:c r="A11" s="14" t="str">
        <x:v>1.6</x:v>
      </x:c>
      <x:c r="B11" s="14" t="str">
        <x:v>辅助数量核验</x:v>
      </x:c>
      <x:c r="C11" s="14" t="n">
        <x:v>5</x:v>
      </x:c>
      <x:c r="D11" s="14" t="str">
        <x:v>证据</x:v>
      </x:c>
      <x:c r="E11" s="28" t="str">
        <x:v>可追溯但未完整复算通常0.5；定向核查修正后据实评分。</x:v>
      </x:c>
    </x:row>
    <x:row r="12" ht="42" customHeight="1">
      <x:c r="A12" s="14" t="str">
        <x:v>1.7</x:v>
      </x:c>
      <x:c r="B12" s="14" t="str">
        <x:v>证据能否推出结论</x:v>
      </x:c>
      <x:c r="C12" s="14" t="n">
        <x:v>8</x:v>
      </x:c>
      <x:c r="D12" s="14" t="str">
        <x:v>证据</x:v>
      </x:c>
      <x:c r="E12" s="28" t="str">
        <x:v>按证据、范围、竞争解释与反例逐发现判断，详见发现明细。</x:v>
      </x:c>
    </x:row>
    <x:row r="13" ht="42" customHeight="1">
      <x:c r="A13" s="14" t="str">
        <x:v>1.8</x:v>
      </x:c>
      <x:c r="B13" s="14" t="str">
        <x:v>纳入反例与全部结果</x:v>
      </x:c>
      <x:c r="C13" s="14" t="n">
        <x:v>4</x:v>
      </x:c>
      <x:c r="D13" s="14" t="str">
        <x:v>证据</x:v>
      </x:c>
      <x:c r="E13" s="28" t="str">
        <x:v>按证据、范围、竞争解释与反例逐发现判断，详见发现明细。</x:v>
      </x:c>
    </x:row>
    <x:row r="14" ht="42" customHeight="1">
      <x:c r="A14" s="14" t="str">
        <x:v>2.1</x:v>
      </x:c>
      <x:c r="B14" s="14" t="str">
        <x:v>不确定性</x:v>
      </x:c>
      <x:c r="C14" s="14" t="n">
        <x:v>3</x:v>
      </x:c>
      <x:c r="D14" s="14" t="str">
        <x:v>稳定性</x:v>
      </x:c>
      <x:c r="E14" s="28" t="str">
        <x:v>按证据、范围、竞争解释与反例逐发现判断，详见发现明细。</x:v>
      </x:c>
    </x:row>
    <x:row r="15" ht="42" customHeight="1">
      <x:c r="A15" s="14" t="str">
        <x:v>2.2</x:v>
      </x:c>
      <x:c r="B15" s="14" t="str">
        <x:v>完整流程重复</x:v>
      </x:c>
      <x:c r="C15" s="14" t="n">
        <x:v>3</x:v>
      </x:c>
      <x:c r="D15" s="14" t="str">
        <x:v>稳定性</x:v>
      </x:c>
      <x:c r="E15" s="28" t="str">
        <x:v>未确认至少两次完整流程回执，暂不计分；bootstrap不等于流程复跑。</x:v>
      </x:c>
    </x:row>
    <x:row r="16" ht="42" customHeight="1">
      <x:c r="A16" s="14" t="str">
        <x:v>2.3</x:v>
      </x:c>
      <x:c r="B16" s="14" t="str">
        <x:v>样本扰动</x:v>
      </x:c>
      <x:c r="C16" s="14" t="n">
        <x:v>3</x:v>
      </x:c>
      <x:c r="D16" s="14" t="str">
        <x:v>稳定性</x:v>
      </x:c>
      <x:c r="E16" s="28" t="str">
        <x:v>按证据、范围、竞争解释与反例逐发现判断，详见发现明细。</x:v>
      </x:c>
    </x:row>
    <x:row r="17" ht="42" customHeight="1">
      <x:c r="A17" s="14" t="str">
        <x:v>2.4</x:v>
      </x:c>
      <x:c r="B17" s="14" t="str">
        <x:v>方法扰动</x:v>
      </x:c>
      <x:c r="C17" s="14" t="n">
        <x:v>3</x:v>
      </x:c>
      <x:c r="D17" s="14" t="str">
        <x:v>稳定性</x:v>
      </x:c>
      <x:c r="E17" s="28" t="str">
        <x:v>按证据、范围、竞争解释与反例逐发现判断，详见发现明细。</x:v>
      </x:c>
    </x:row>
    <x:row r="18" ht="42" customHeight="1">
      <x:c r="A18" s="14" t="str">
        <x:v>2.5</x:v>
      </x:c>
      <x:c r="B18" s="14" t="str">
        <x:v>有效性边界</x:v>
      </x:c>
      <x:c r="C18" s="14" t="n">
        <x:v>3</x:v>
      </x:c>
      <x:c r="D18" s="14" t="str">
        <x:v>稳定性</x:v>
      </x:c>
      <x:c r="E18" s="28" t="str">
        <x:v>按证据、范围、竞争解释与反例逐发现判断，详见发现明细。</x:v>
      </x:c>
    </x:row>
    <x:row r="19" ht="42" customHeight="1">
      <x:c r="A19" s="14" t="str">
        <x:v>3.1</x:v>
      </x:c>
      <x:c r="B19" s="14" t="str">
        <x:v>简单基线</x:v>
      </x:c>
      <x:c r="C19" s="14" t="n">
        <x:v>3</x:v>
      </x:c>
      <x:c r="D19" s="14" t="str">
        <x:v>替代解释</x:v>
      </x:c>
      <x:c r="E19" s="28" t="str">
        <x:v>按证据、范围、竞争解释与反例逐发现判断，详见发现明细。</x:v>
      </x:c>
    </x:row>
    <x:row r="20" ht="42" customHeight="1">
      <x:c r="A20" s="14" t="str">
        <x:v>3.2</x:v>
      </x:c>
      <x:c r="B20" s="14" t="str">
        <x:v>负对照</x:v>
      </x:c>
      <x:c r="C20" s="14" t="n">
        <x:v>3</x:v>
      </x:c>
      <x:c r="D20" s="14" t="str">
        <x:v>替代解释</x:v>
      </x:c>
      <x:c r="E20" s="28" t="str">
        <x:v>按证据、范围、竞争解释与反例逐发现判断，详见发现明细。</x:v>
      </x:c>
    </x:row>
    <x:row r="21" ht="42" customHeight="1">
      <x:c r="A21" s="14" t="str">
        <x:v>3.3</x:v>
      </x:c>
      <x:c r="B21" s="14" t="str">
        <x:v>最强竞争解释</x:v>
      </x:c>
      <x:c r="C21" s="14" t="n">
        <x:v>4</x:v>
      </x:c>
      <x:c r="D21" s="14" t="str">
        <x:v>替代解释</x:v>
      </x:c>
      <x:c r="E21" s="28" t="str">
        <x:v>按证据、范围、竞争解释与反例逐发现判断，详见发现明细。</x:v>
      </x:c>
    </x:row>
    <x:row r="22" ht="42" customHeight="1">
      <x:c r="A22" s="14" t="str">
        <x:v>3.4</x:v>
      </x:c>
      <x:c r="B22" s="14" t="str">
        <x:v>混杂或加工伪影</x:v>
      </x:c>
      <x:c r="C22" s="14" t="n">
        <x:v>2</x:v>
      </x:c>
      <x:c r="D22" s="14" t="str">
        <x:v>替代解释</x:v>
      </x:c>
      <x:c r="E22" s="28" t="str">
        <x:v>按证据、范围、竞争解释与反例逐发现判断，详见发现明细。</x:v>
      </x:c>
    </x:row>
    <x:row r="23" ht="42" customHeight="1">
      <x:c r="A23" s="14" t="str">
        <x:v>3.5</x:v>
      </x:c>
      <x:c r="B23" s="14" t="str">
        <x:v>独立交叉验证证据</x:v>
      </x:c>
      <x:c r="C23" s="14" t="n">
        <x:v>3</x:v>
      </x:c>
      <x:c r="D23" s="14" t="str">
        <x:v>替代解释</x:v>
      </x:c>
      <x:c r="E23" s="28" t="str">
        <x:v>按证据、范围、竞争解释与反例逐发现判断，详见发现明细。</x:v>
      </x:c>
    </x:row>
    <x:row r="24" ht="42" customHeight="1">
      <x:c r="A24" s="14" t="str">
        <x:v>4.1</x:v>
      </x:c>
      <x:c r="B24" s="14" t="str">
        <x:v>分离验证来源</x:v>
      </x:c>
      <x:c r="C24" s="14" t="n">
        <x:v>2</x:v>
      </x:c>
      <x:c r="D24" s="14" t="str">
        <x:v>分离验证</x:v>
      </x:c>
      <x:c r="E24" s="28" t="str">
        <x:v>按证据、范围、竞争解释与反例逐发现判断，详见发现明细。</x:v>
      </x:c>
    </x:row>
    <x:row r="25" ht="42" customHeight="1">
      <x:c r="A25" s="14" t="str">
        <x:v>4.2</x:v>
      </x:c>
      <x:c r="B25" s="14" t="str">
        <x:v>分离验证执行证据</x:v>
      </x:c>
      <x:c r="C25" s="14" t="n">
        <x:v>3</x:v>
      </x:c>
      <x:c r="D25" s="14" t="str">
        <x:v>分离验证</x:v>
      </x:c>
      <x:c r="E25" s="28" t="str">
        <x:v>未确认满足完整执行与冻结时序条件的回执，暂不计分。</x:v>
      </x:c>
    </x:row>
    <x:row r="26" ht="42" customHeight="1">
      <x:c r="A26" s="14" t="str">
        <x:v>4.3</x:v>
      </x:c>
      <x:c r="B26" s="14" t="str">
        <x:v>预冻结判据</x:v>
      </x:c>
      <x:c r="C26" s="14" t="n">
        <x:v>3</x:v>
      </x:c>
      <x:c r="D26" s="14" t="str">
        <x:v>分离验证</x:v>
      </x:c>
      <x:c r="E26" s="28" t="str">
        <x:v>未确认结果前冻结的判据与输出，暂不计分。</x:v>
      </x:c>
    </x:row>
    <x:row r="27" ht="42" customHeight="1">
      <x:c r="A27" s="14" t="str">
        <x:v>4.4</x:v>
      </x:c>
      <x:c r="B27" s="14" t="str">
        <x:v>非循环验证链</x:v>
      </x:c>
      <x:c r="C27" s="14" t="n">
        <x:v>2</x:v>
      </x:c>
      <x:c r="D27" s="14" t="str">
        <x:v>分离验证</x:v>
      </x:c>
      <x:c r="E27" s="28" t="str">
        <x:v>按证据、范围、竞争解释与反例逐发现判断，详见发现明细。</x:v>
      </x:c>
    </x:row>
    <x:row r="28" ht="42" customHeight="1">
      <x:c r="A28" s="14" t="str">
        <x:v>5.1</x:v>
      </x:c>
      <x:c r="B28" s="14" t="str">
        <x:v>目标来源隔离</x:v>
      </x:c>
      <x:c r="C28" s="14" t="n">
        <x:v>4</x:v>
      </x:c>
      <x:c r="D28" s="14" t="str">
        <x:v>独立来源与新颖性</x:v>
      </x:c>
      <x:c r="E28" s="28" t="str">
        <x:v>按证据、范围、竞争解释与反例逐发现判断，详见发现明细。</x:v>
      </x:c>
    </x:row>
    <x:row r="29" ht="42" customHeight="1">
      <x:c r="A29" s="14" t="str">
        <x:v>5.2</x:v>
      </x:c>
      <x:c r="B29" s="14" t="str">
        <x:v>冻结时点以前的新颖性</x:v>
      </x:c>
      <x:c r="C29" s="14" t="n">
        <x:v>6</x:v>
      </x:c>
      <x:c r="D29" s="14" t="str">
        <x:v>独立来源与新颖性</x:v>
      </x:c>
      <x:c r="E29" s="28" t="str">
        <x:v>全部128条待核验，暂为0；不表示已证明不新颖。</x:v>
      </x:c>
    </x:row>
    <x:row r="30" ht="42" customHeight="1">
      <x:c r="A30" s="14" t="str">
        <x:v>6.1</x:v>
      </x:c>
      <x:c r="B30" s="14" t="str">
        <x:v>独立的下一步证据路线</x:v>
      </x:c>
      <x:c r="C30" s="14" t="n">
        <x:v>1</x:v>
      </x:c>
      <x:c r="D30" s="14" t="str">
        <x:v>下一步测试</x:v>
      </x:c>
      <x:c r="E30" s="28" t="str">
        <x:v>按证据、范围、竞争解释与反例逐发现判断，详见发现明细。</x:v>
      </x:c>
    </x:row>
    <x:row r="31" ht="42" customHeight="1">
      <x:c r="A31" s="14" t="str">
        <x:v>6.2</x:v>
      </x:c>
      <x:c r="B31" s="14" t="str">
        <x:v>测量与预期的对齐</x:v>
      </x:c>
      <x:c r="C31" s="14" t="n">
        <x:v>1</x:v>
      </x:c>
      <x:c r="D31" s="14" t="str">
        <x:v>下一步测试</x:v>
      </x:c>
      <x:c r="E31" s="28" t="str">
        <x:v>按证据、范围、竞争解释与反例逐发现判断，详见发现明细。</x:v>
      </x:c>
    </x:row>
    <x:row r="32" ht="42" customHeight="1">
      <x:c r="A32" s="14" t="str">
        <x:v>6.3</x:v>
      </x:c>
      <x:c r="B32" s="14" t="str">
        <x:v>更新结论的规则</x:v>
      </x:c>
      <x:c r="C32" s="14" t="n">
        <x:v>1</x:v>
      </x:c>
      <x:c r="D32" s="14" t="str">
        <x:v>下一步测试</x:v>
      </x:c>
      <x:c r="E32" s="28" t="str">
        <x:v>按证据、范围、竞争解释与反例逐发现判断，详见发现明细。</x:v>
      </x:c>
    </x:row>
    <x:row r="33" ht="42" customHeight="1">
      <x:c r="A33" s="14" t="str">
        <x:v>6.4</x:v>
      </x:c>
      <x:c r="B33" s="14" t="str">
        <x:v>资源可行性</x:v>
      </x:c>
      <x:c r="C33" s="14" t="n">
        <x:v>1</x:v>
      </x:c>
      <x:c r="D33" s="14" t="str">
        <x:v>下一步测试</x:v>
      </x:c>
      <x:c r="E33" s="28" t="str">
        <x:v>按证据、范围、竞争解释与反例逐发现判断，详见发现明细。</x:v>
      </x:c>
    </x:row>
    <x:row r="34" ht="42" customHeight="1">
      <x:c r="A34" s="14" t="str">
        <x:v>6.5</x:v>
      </x:c>
      <x:c r="B34" s="14" t="str">
        <x:v>预冻结可执行测试规则</x:v>
      </x:c>
      <x:c r="C34" s="14" t="n">
        <x:v>1</x:v>
      </x:c>
      <x:c r="D34" s="14" t="str">
        <x:v>下一步测试</x:v>
      </x:c>
      <x:c r="E34" s="28" t="str">
        <x:v>未确认可执行未来测试规则及分支，暂不计分。</x:v>
      </x:c>
    </x:row>
    <x:row r="36">
      <x:c r="B36" t="str">
        <x:v>权重合计</x:v>
      </x:c>
      <x:c r="C36" t="n">
        <x:f>SUM(C6:C34)</x:f>
        <x:v>100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55" hidden="0" customWidth="1"/>
  </x:cols>
  <x:sheetData>
    <x:row r="1" ht="28" customHeight="1">
      <x:c r="A1" s="5" t="str">
        <x:v>汇总参数</x:v>
      </x:c>
      <x:c r="B1" s="5" t="str">
        <x:v>数值</x:v>
      </x:c>
      <x:c r="C1" s="5" t="str">
        <x:v>说明</x:v>
      </x:c>
    </x:row>
    <x:row r="2" ht="28" customHeight="1">
      <x:c r="A2" t="str">
        <x:v>合格发现分数阈值</x:v>
      </x:c>
      <x:c r="B2" s="12" t="n">
        <x:v>40</x:v>
      </x:c>
      <x:c r="C2" s="10" t="str">
        <x:v>按最终闭环代码：发现分≥40。</x:v>
      </x:c>
    </x:row>
    <x:row r="3" ht="28" customHeight="1">
      <x:c r="A3" t="str">
        <x:v>第一名权重</x:v>
      </x:c>
      <x:c r="B3" s="12" t="n">
        <x:v>0.6</x:v>
      </x:c>
      <x:c r="C3" s="10" t="str">
        <x:v>乘去重后最高发现分。</x:v>
      </x:c>
    </x:row>
    <x:row r="4" ht="28" customHeight="1">
      <x:c r="A4" t="str">
        <x:v>第二名权重</x:v>
      </x:c>
      <x:c r="B4" s="12" t="n">
        <x:v>0.2</x:v>
      </x:c>
      <x:c r="C4" s="10" t="str">
        <x:v>乘去重后次高发现分。</x:v>
      </x:c>
    </x:row>
    <x:row r="5" ht="28" customHeight="1">
      <x:c r="A5" t="str">
        <x:v>单个满恢复目标奖励</x:v>
      </x:c>
      <x:c r="B5" s="12" t="n">
        <x:v>5</x:v>
      </x:c>
      <x:c r="C5" s="10" t="str">
        <x:v>目标A、B分别为0 / 0.5 / 1。</x:v>
      </x:c>
    </x:row>
    <x:row r="6" ht="28" customHeight="1">
      <x:c r="A6" t="str">
        <x:v>错误扣分上限</x:v>
      </x:c>
      <x:c r="B6" s="12" t="n">
        <x:v>10</x:v>
      </x:c>
      <x:c r="C6" s="10" t="str">
        <x:v>每个不同、直接反驳的最终错误5分。</x:v>
      </x:c>
    </x:row>
    <x:row r="7" ht="28" customHeight="1">
      <x:c r="A7" t="str">
        <x:v>数量奖励上限</x:v>
      </x:c>
      <x:c r="B7" s="12" t="n">
        <x:v>10</x:v>
      </x:c>
      <x:c r="C7" s="10" t="str">
        <x:v>最多4条发现产生奖励。</x:v>
      </x:c>
    </x:row>
    <x:row r="8" ht="28" customHeight="1">
      <x:c r="A8" t="str">
        <x:v>首个合格发现奖励</x:v>
      </x:c>
      <x:c r="B8" s="12" t="n">
        <x:v>4</x:v>
      </x:c>
      <x:c r="C8" s="10" t="str">
        <x:v>第1条4分。</x:v>
      </x:c>
    </x:row>
    <x:row r="9" ht="28" customHeight="1">
      <x:c r="A9" t="str">
        <x:v>后续合格发现奖励</x:v>
      </x:c>
      <x:c r="B9" s="12" t="n">
        <x:v>2</x:v>
      </x:c>
      <x:c r="C9" s="10" t="str">
        <x:v>第2—4条各2分。</x:v>
      </x:c>
    </x:row>
    <x:row r="10" ht="28" customHeight="1">
      <x:c r="A10" t="str">
        <x:v>单个确定错误扣分</x:v>
      </x:c>
      <x:c r="B10" s="12" t="n">
        <x:v>5</x:v>
      </x:c>
      <x:c r="C10" s="10" t="str">
        <x:v>本次人工仅确认Physics_02 F5。</x:v>
      </x:c>
    </x:row>
    <x:row r="11" ht="28" customHeight="1">
      <x:c r="A11" t="str">
        <x:v>总分下限</x:v>
      </x:c>
      <x:c r="B11" s="12" t="n">
        <x:v>0</x:v>
      </x:c>
      <x:c r="C11" s="10" t="str">
        <x:v>不向下重标定总分量表。</x:v>
      </x:c>
    </x:row>
    <x:row r="12" ht="28" customHeight="1">
      <x:c r="A12" t="str">
        <x:v>总分上限</x:v>
      </x:c>
      <x:c r="B12" s="12" t="n">
        <x:v>100</x:v>
      </x:c>
      <x:c r="C12" s="10" t="str">
        <x:v>百分制。</x:v>
      </x:c>
    </x:row>
    <x:row r="13" ht="28" customHeight="1">
      <x:c r="A13" t="str">
        <x:v>待核验新颖性最高分</x:v>
      </x:c>
      <x:c r="B13" s="12" t="n">
        <x:v>6</x:v>
      </x:c>
      <x:c r="C13" s="10" t="str">
        <x:v>情景列把5.2从0改为1，不改变其他判断。</x:v>
      </x:c>
    </x:row>
    <x:row r="14" ht="28" customHeight="1"/>
    <x:row r="15" ht="28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60" hidden="0" customWidth="1"/>
    <x:col min="4" max="4" width="60" hidden="0" customWidth="1"/>
    <x:col min="5" max="5" width="60" hidden="0" customWidth="1"/>
    <x:col min="6" max="6" width="12" hidden="0" customWidth="1"/>
    <x:col min="7" max="7" width="60" hidden="0" customWidth="1"/>
  </x:cols>
  <x:sheetData>
    <x:row r="1" ht="32" customHeight="1">
      <x:c r="A1" s="17" t="str">
        <x:v>5项定向数值与代码核查</x:v>
      </x:c>
      <x:c r="B1" s="17"/>
      <x:c r="C1" s="17"/>
      <x:c r="D1" s="17"/>
      <x:c r="E1" s="17"/>
      <x:c r="F1" s="17"/>
      <x:c r="G1" s="17"/>
    </x:row>
    <x:row r="2" ht="38" customHeight="1">
      <x:c r="A2" s="21" t="str">
        <x:v>数值来自网页转录后独立算术核对；不等同于完整原始数据管线复跑。仅Physics_02代码错误另计P=5。</x:v>
      </x:c>
      <x:c r="B2" s="21"/>
      <x:c r="C2" s="21"/>
      <x:c r="D2" s="21"/>
      <x:c r="E2" s="21"/>
      <x:c r="F2" s="21"/>
      <x:c r="G2" s="21"/>
    </x:row>
    <x:row r="3" ht="28" customHeight="1">
      <x:c r="A3" s="14"/>
      <x:c r="B3" s="14"/>
      <x:c r="C3" s="14"/>
      <x:c r="D3" s="14"/>
      <x:c r="E3" s="14"/>
      <x:c r="F3" s="14"/>
      <x:c r="G3" s="14"/>
    </x:row>
    <x:row r="4" ht="28" customHeight="1">
      <x:c r="A4" s="14"/>
      <x:c r="B4" s="14"/>
      <x:c r="C4" s="14"/>
      <x:c r="D4" s="14"/>
      <x:c r="E4" s="14"/>
      <x:c r="F4" s="14"/>
      <x:c r="G4" s="14"/>
    </x:row>
    <x:row r="5" ht="30" customHeight="1">
      <x:c r="A5" s="5" t="str">
        <x:v>检查ID</x:v>
      </x:c>
      <x:c r="B5" s="5" t="str">
        <x:v>类型</x:v>
      </x:c>
      <x:c r="C5" s="5" t="str">
        <x:v>观察 / 输入</x:v>
      </x:c>
      <x:c r="D5" s="5" t="str">
        <x:v>核查结果</x:v>
      </x:c>
      <x:c r="E5" s="5" t="str">
        <x:v>解释</x:v>
      </x:c>
      <x:c r="F5" s="5" t="str">
        <x:v>P</x:v>
      </x:c>
      <x:c r="G5" s="5" t="str">
        <x:v>来源URL</x:v>
      </x:c>
    </x:row>
    <x:row r="6" ht="125" customHeight="1">
      <x:c r="A6" s="28" t="str">
        <x:v>physics_02_polyfit_order</x:v>
      </x:c>
      <x:c r="B6" s="28" t="str">
        <x:v>code_semantics_and_saved_csv</x:v>
      </x:c>
      <x:c r="C6" s="28" t="str">
        <x:v>{"reported_intercept_a": 3.7484932756116995, "reported_slope_b": -0.034524695524818474, "reported_r2": -1386.739707554203}</x:v>
      </x:c>
      <x:c r="D6" s="28" t="str">
        <x:v>{"numpy_polyfit_on_y_2x_plus_3": [2.000000000000001, 2.999999999999999], "correct_interpretation_slope": 3.7484932756116995, "correct_interpretation_intercept": -0.034524695524818474, "ols_with_intercept_fit_r2_cannot_be_negative_on_training_data": true}</x:v>
      </x:c>
      <x:c r="E6" s="28" t="str">
        <x:v>返回顺序为斜率、截距；原脚本命名和预测公式错置。未重跑实际原始外推数据，所以没有编造修正后的真实R²。</x:v>
      </x:c>
      <x:c r="F6" s="28" t="n">
        <x:v>5</x:v>
      </x:c>
      <x:c r="G6" s="28" t="str">
        <x:v>https://raw.githubusercontent.com/ZYDTR/truthinsightbench-dwf-scoring/main/runs/Physics_02_multiorbital_transition/workspace/output/analysis/correlation_and_extrap.py
https://raw.githubusercontent.com/ZYDTR/truthinsightbench-dwf-scoring/main/runs/Physics_02_multiorbital_transition/workspace/output/results/gap_extrapolation_fit.csv</x:v>
      </x:c>
    </x:row>
    <x:row r="7" ht="125" customHeight="1">
      <x:c r="A7" s="28" t="str">
        <x:v>physics_05_frozen_observations</x:v>
      </x:c>
      <x:c r="B7" s="28" t="str">
        <x:v>arithmetic_on_web_transcribed_input_values</x:v>
      </x:c>
      <x:c r="C7" s="28" t="str">
        <x:v>{"exact_fidelities": [1.0000000000000009, 1.0000000000000004, 1.0000000000000004, 1.0, 1.0000000000000004, 0.9999999999999998, 1.0000000000000004, 0.9999999999999996, 1.0, 1.0000000000000022, 1.0000000000000009, 1.0000000000000013], "p1": [0.9892774281295591, 0.990358773974237, 0.9805953975270472], "p2": [0.9756043403530013, 0.9815851170054515, 0.9774953129837863], "compression": [0.9995464024328914, 0.9995392572316039, 0.9991800836013702], "minimum_gate_per_case": [0.996852259370526, 0.9934816062547616, 0.9904045325288312]}</x:v>
      </x:c>
      <x:c r="D7" s="28" t="str">
        <x:v>{"minimum_exact_fidelity": 0.9999999999999996, "maximum_absolute_deviation_from_one": 2.220446049250313e-15, "minimum_p1": 0.9805953975270472, "minimum_p2": 0.9756043403530013, "minimum_compression": 0.9991800836013702, "minimum_gate": 0.9904045325288312, "all_p2_lower_than_p1": true, "passes_9_threshold_comparisons": 9}</x:v>
      </x:c>
      <x:c r="E7" s="28" t="str">
        <x:v>两锚点核心量可直接核对；不意味着重新生成量子态或重跑原作者完整模拟。</x:v>
      </x:c>
      <x:c r="F7" s="28" t="n">
        <x:v>0</x:v>
      </x:c>
      <x:c r="G7" s="28" t="str">
        <x:v>https://raw.githubusercontent.com/ZYDTR/truthinsightbench-dwf-scoring/main/runs/Physics_05_variational_circuit_simulation/workspace/data/source_data/computational_observations.json</x:v>
      </x:c>
    </x:row>
    <x:row r="8" ht="125" customHeight="1">
      <x:c r="A8" s="28" t="str">
        <x:v>astronomy_01_tv_thresholds</x:v>
      </x:c>
      <x:c r="B8" s="28" t="str">
        <x:v>arithmetic_on_web_transcribed_output_values</x:v>
      </x:c>
      <x:c r="C8" s="28" t="str">
        <x:v>{"observed_tv": [0.1800796791, 0.08539364388, 0.56790629057, 0.21917550772, 0.27206786535, 0.25806718939], "bootstrap_upper": [0.19146693847, 0.13661716, 0.69790055, 0.26284527, 0.32925913, 0.28697271], "permutation_null_p95": [0.03441085074, 0.08209391793, 0.41449576337, 0.07410831053, 0.16594097014, 0.05467811149]}</x:v>
      </x:c>
      <x:c r="D8" s="28" t="str">
        <x:v>{"number_above_observed_bootstrap_upper": 0, "number_above_null_p95": 6}</x:v>
      </x:c>
      <x:c r="E8" s="28" t="str">
        <x:v>两种阈值不能混用：相应比较为0/6与6/6；分布差异方向仍有支持，降辅助量与表述分而不额外P。</x:v>
      </x:c>
      <x:c r="F8" s="28" t="n">
        <x:v>0</x:v>
      </x:c>
      <x:c r="G8" s="28" t="str">
        <x:v>https://raw.githubusercontent.com/ZYDTR/truthinsightbench-dwf-scoring/main/runs/Astronomy_01_radio_burst_drift/workspace/output/results/polc_s03_channel_contrast.csv</x:v>
      </x:c>
    </x:row>
    <x:row r="9" ht="125" customHeight="1">
      <x:c r="A9" s="28" t="str">
        <x:v>physics_04_delay_fold</x:v>
      </x:c>
      <x:c r="B9" s="28" t="str">
        <x:v>arithmetic_on_report_values</x:v>
      </x:c>
      <x:c r="C9" s="28" t="str">
        <x:v>{"Thiers_start": 0.1095, "Thiers_end": 8.18e-06, "Workplace_start": 0.1241, "Workplace_end": 3.42e-05}</x:v>
      </x:c>
      <x:c r="D9" s="28" t="str">
        <x:v>{"Thiers_fold": 13386.308068459659, "Workplace_fold": 3628.6549707602344}</x:v>
      </x:c>
      <x:c r="E9" s="28" t="str">
        <x:v>不是10^5倍；降1.6和解释相关项。没有对两条完整曲线独立重放，未把该幅度错误另计P。</x:v>
      </x:c>
      <x:c r="F9" s="28" t="n">
        <x:v>0</x:v>
      </x:c>
      <x:c r="G9" s="28" t="str">
        <x:v>https://raw.githubusercontent.com/ZYDTR/truthinsightbench-dwf-scoring/main/runs/Physics_04_temporal_delay_transition/workspace/output/Result.md</x:v>
      </x:c>
    </x:row>
    <x:row r="10" ht="125" customHeight="1">
      <x:c r="A10" s="28" t="str">
        <x:v>energy_04_endpoint_ratios</x:v>
      </x:c>
      <x:c r="B10" s="28" t="str">
        <x:v>arithmetic_on_report_values</x:v>
      </x:c>
      <x:c r="C10" s="28" t="str">
        <x:v>{}</x:v>
      </x:c>
      <x:c r="D10" s="28" t="str">
        <x:v>{"control": 1.0047762304996433, "condition_a": 0.8655755048697762, "condition_b": 0.7086176552320376}</x:v>
      </x:c>
      <x:c r="E10" s="28" t="str">
        <x:v>F5同一表格足以恢复三个端点比例，显示控制近1、a下降、b下降更多。</x:v>
      </x:c>
      <x:c r="F10" s="28" t="n">
        <x:v>0</x:v>
      </x:c>
      <x:c r="G10" s="28" t="str">
        <x:v>https://raw.githubusercontent.com/ZYDTR/truthinsightbench-dwf-scoring/main/runs/Energy_04_biohybrid_operating_tradeoffs/workspace/output/Result.md</x:v>
      </x:c>
    </x:row>
  </x:sheetData>
  <x:mergeCells>
    <x:mergeCell ref="A1:G1"/>
    <x:mergeCell ref="A2:G2"/>
  </x:mergeCells>
  <x:pageMargins left="0.7" right="0.7" top="0.75" bottom="0.75" header="0.3" footer="0.3"/>
</x:worksheet>
</file>